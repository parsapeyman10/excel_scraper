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80" yWindow="2250" windowWidth="21600" windowHeight="11295" tabRatio="600" firstSheet="0" activeTab="0" autoFilterDateGrouping="1"/>
  </bookViews>
  <sheets>
    <sheet xmlns:r="http://schemas.openxmlformats.org/officeDocument/2006/relationships" name="مونتاژ ماشینی" sheetId="1" state="visible" r:id="rId1"/>
    <sheet xmlns:r="http://schemas.openxmlformats.org/officeDocument/2006/relationships" name="top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bot" sheetId="4" state="visible" r:id="rId4"/>
  </sheets>
  <definedNames>
    <definedName name="_xlnm._FilterDatabase" localSheetId="2" hidden="1">'Sheet1'!$C$1:$D$658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6"/>
      <scheme val="minor"/>
    </font>
    <font>
      <name val="Calibri"/>
      <family val="2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Arial"/>
      <family val="2"/>
      <sz val="10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8" fillId="0" borderId="0"/>
    <xf numFmtId="43" fontId="1" fillId="0" borderId="0"/>
  </cellStyleXfs>
  <cellXfs count="8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18" fillId="33" borderId="10" applyAlignment="1" pivotButton="0" quotePrefix="0" xfId="0">
      <alignment vertical="center"/>
    </xf>
    <xf numFmtId="49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 wrapText="1"/>
    </xf>
    <xf numFmtId="49" fontId="21" fillId="33" borderId="0" applyAlignment="1" pivotButton="0" quotePrefix="0" xfId="0">
      <alignment horizontal="center" vertical="center"/>
    </xf>
    <xf numFmtId="49" fontId="18" fillId="33" borderId="13" applyAlignment="1" pivotButton="0" quotePrefix="0" xfId="0">
      <alignment vertical="center"/>
    </xf>
    <xf numFmtId="0" fontId="19" fillId="33" borderId="0" applyAlignment="1" pivotButton="0" quotePrefix="0" xfId="0">
      <alignment horizontal="left" vertical="center"/>
    </xf>
    <xf numFmtId="49" fontId="18" fillId="33" borderId="0" applyAlignment="1" pivotButton="0" quotePrefix="0" xfId="0">
      <alignment vertical="center"/>
    </xf>
    <xf numFmtId="49" fontId="18" fillId="33" borderId="17" applyAlignment="1" pivotButton="0" quotePrefix="0" xfId="0">
      <alignment vertical="center"/>
    </xf>
    <xf numFmtId="49" fontId="22" fillId="33" borderId="0" applyAlignment="1" pivotButton="0" quotePrefix="0" xfId="0">
      <alignment vertical="center"/>
    </xf>
    <xf numFmtId="49" fontId="23" fillId="33" borderId="17" applyAlignment="1" pivotButton="0" quotePrefix="0" xfId="0">
      <alignment vertical="center"/>
    </xf>
    <xf numFmtId="49" fontId="22" fillId="33" borderId="0" applyAlignment="1" pivotButton="0" quotePrefix="0" xfId="0">
      <alignment horizontal="center" vertical="center"/>
    </xf>
    <xf numFmtId="49" fontId="19" fillId="34" borderId="27" applyAlignment="1" pivotButton="0" quotePrefix="0" xfId="0">
      <alignment horizontal="center" vertical="center"/>
    </xf>
    <xf numFmtId="49" fontId="19" fillId="34" borderId="28" applyAlignment="1" pivotButton="0" quotePrefix="0" xfId="0">
      <alignment horizontal="center" vertical="center"/>
    </xf>
    <xf numFmtId="49" fontId="25" fillId="0" borderId="0" applyAlignment="1" pivotButton="0" quotePrefix="0" xfId="0">
      <alignment horizontal="center" vertical="center" wrapText="1"/>
    </xf>
    <xf numFmtId="49" fontId="18" fillId="34" borderId="22" applyAlignment="1" pivotButton="0" quotePrefix="0" xfId="0">
      <alignment horizontal="center" vertical="center" wrapText="1"/>
    </xf>
    <xf numFmtId="49" fontId="25" fillId="0" borderId="22" applyAlignment="1" pivotButton="0" quotePrefix="0" xfId="0">
      <alignment horizontal="center" vertical="center" wrapText="1"/>
    </xf>
    <xf numFmtId="0" fontId="26" fillId="0" borderId="22" applyAlignment="1" pivotButton="0" quotePrefix="1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49" fontId="25" fillId="0" borderId="22" applyAlignment="1" pivotButton="0" quotePrefix="0" xfId="42">
      <alignment horizontal="center" vertical="center" wrapText="1"/>
    </xf>
    <xf numFmtId="49" fontId="26" fillId="0" borderId="0" applyAlignment="1" pivotButton="0" quotePrefix="0" xfId="0">
      <alignment horizontal="center" vertical="center" wrapText="1"/>
    </xf>
    <xf numFmtId="49" fontId="26" fillId="0" borderId="22" applyAlignment="1" pivotButton="0" quotePrefix="0" xfId="0">
      <alignment horizontal="center" vertical="center" wrapText="1"/>
    </xf>
    <xf numFmtId="0" fontId="26" fillId="0" borderId="22" applyAlignment="1" pivotButton="0" quotePrefix="0" xfId="0">
      <alignment horizontal="center" vertical="center" wrapText="1"/>
    </xf>
    <xf numFmtId="0" fontId="25" fillId="0" borderId="22" applyAlignment="1" pivotButton="0" quotePrefix="1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49" fontId="26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36" borderId="0" applyAlignment="1" pivotButton="0" quotePrefix="0" xfId="0">
      <alignment horizontal="center" vertical="center"/>
    </xf>
    <xf numFmtId="164" fontId="0" fillId="0" borderId="0" applyAlignment="1" pivotButton="0" quotePrefix="0" xfId="43">
      <alignment horizontal="center" vertical="center"/>
    </xf>
    <xf numFmtId="0" fontId="0" fillId="37" borderId="0" applyAlignment="1" pivotButton="0" quotePrefix="0" xfId="0">
      <alignment horizontal="center" vertical="center"/>
    </xf>
    <xf numFmtId="49" fontId="18" fillId="33" borderId="11" applyAlignment="1" pivotButton="0" quotePrefix="0" xfId="0">
      <alignment vertical="center"/>
    </xf>
    <xf numFmtId="0" fontId="21" fillId="0" borderId="22" applyAlignment="1" pivotButton="0" quotePrefix="1" xfId="0">
      <alignment horizontal="center" vertical="center" wrapText="1"/>
    </xf>
    <xf numFmtId="0" fontId="14" fillId="0" borderId="22" applyAlignment="1" pivotButton="0" quotePrefix="0" xfId="0">
      <alignment horizontal="center" vertical="center"/>
    </xf>
    <xf numFmtId="0" fontId="14" fillId="0" borderId="22" applyAlignment="1" pivotButton="0" quotePrefix="1" xfId="0">
      <alignment horizontal="center" vertical="center"/>
    </xf>
    <xf numFmtId="0" fontId="21" fillId="0" borderId="22" applyAlignment="1" pivotButton="0" quotePrefix="1" xfId="0">
      <alignment horizontal="center" vertical="center"/>
    </xf>
    <xf numFmtId="0" fontId="21" fillId="0" borderId="22" applyAlignment="1" pivotButton="0" quotePrefix="0" xfId="0">
      <alignment horizontal="center" vertical="center"/>
    </xf>
    <xf numFmtId="49" fontId="27" fillId="0" borderId="22" applyAlignment="1" pivotButton="0" quotePrefix="0" xfId="0">
      <alignment horizontal="center" vertical="center" wrapText="1"/>
    </xf>
    <xf numFmtId="49" fontId="19" fillId="34" borderId="28" applyAlignment="1" pivotButton="0" quotePrefix="0" xfId="0">
      <alignment horizontal="center" vertical="center"/>
    </xf>
    <xf numFmtId="49" fontId="19" fillId="34" borderId="22" applyAlignment="1" pivotButton="0" quotePrefix="0" xfId="0">
      <alignment horizontal="center" vertical="center"/>
    </xf>
    <xf numFmtId="49" fontId="18" fillId="34" borderId="29" applyAlignment="1" pivotButton="0" quotePrefix="0" xfId="0">
      <alignment horizontal="center" vertical="center"/>
    </xf>
    <xf numFmtId="49" fontId="18" fillId="34" borderId="31" applyAlignment="1" pivotButton="0" quotePrefix="0" xfId="0">
      <alignment horizontal="center" vertical="center"/>
    </xf>
    <xf numFmtId="49" fontId="18" fillId="34" borderId="30" applyAlignment="1" pivotButton="0" quotePrefix="0" xfId="0">
      <alignment horizontal="center" vertical="center"/>
    </xf>
    <xf numFmtId="49" fontId="18" fillId="34" borderId="32" applyAlignment="1" pivotButton="0" quotePrefix="0" xfId="0">
      <alignment horizontal="center" vertical="center"/>
    </xf>
    <xf numFmtId="49" fontId="22" fillId="34" borderId="22" applyAlignment="1" pivotButton="0" quotePrefix="0" xfId="0">
      <alignment horizontal="center" vertical="center" wrapText="1"/>
    </xf>
    <xf numFmtId="49" fontId="18" fillId="34" borderId="27" applyAlignment="1" pivotButton="0" quotePrefix="0" xfId="0">
      <alignment horizontal="center" vertical="center"/>
    </xf>
    <xf numFmtId="49" fontId="18" fillId="34" borderId="28" applyAlignment="1" pivotButton="0" quotePrefix="0" xfId="0">
      <alignment horizontal="center" vertical="center"/>
    </xf>
    <xf numFmtId="49" fontId="18" fillId="34" borderId="22" applyAlignment="1" pivotButton="0" quotePrefix="0" xfId="0">
      <alignment horizontal="center" vertical="center"/>
    </xf>
    <xf numFmtId="49" fontId="19" fillId="34" borderId="27" applyAlignment="1" pivotButton="0" quotePrefix="0" xfId="0">
      <alignment horizontal="center" vertical="center"/>
    </xf>
    <xf numFmtId="49" fontId="19" fillId="33" borderId="0" applyAlignment="1" pivotButton="0" quotePrefix="0" xfId="0">
      <alignment horizontal="left" vertical="center"/>
    </xf>
    <xf numFmtId="49" fontId="19" fillId="33" borderId="20" applyAlignment="1" pivotButton="0" quotePrefix="0" xfId="0">
      <alignment horizontal="left" vertical="center"/>
    </xf>
    <xf numFmtId="49" fontId="19" fillId="35" borderId="21" applyAlignment="1" pivotButton="0" quotePrefix="0" xfId="0">
      <alignment horizontal="left" vertical="center"/>
    </xf>
    <xf numFmtId="49" fontId="19" fillId="35" borderId="22" applyAlignment="1" pivotButton="0" quotePrefix="0" xfId="0">
      <alignment horizontal="left" vertical="center"/>
    </xf>
    <xf numFmtId="49" fontId="19" fillId="35" borderId="23" applyAlignment="1" pivotButton="0" quotePrefix="0" xfId="0">
      <alignment horizontal="left" vertical="center"/>
    </xf>
    <xf numFmtId="49" fontId="24" fillId="0" borderId="24" applyAlignment="1" pivotButton="0" quotePrefix="0" xfId="0">
      <alignment horizontal="center" vertical="center" readingOrder="2"/>
    </xf>
    <xf numFmtId="49" fontId="24" fillId="0" borderId="25" applyAlignment="1" pivotButton="0" quotePrefix="0" xfId="0">
      <alignment horizontal="center" vertical="center" readingOrder="2"/>
    </xf>
    <xf numFmtId="49" fontId="24" fillId="0" borderId="26" applyAlignment="1" pivotButton="0" quotePrefix="0" xfId="0">
      <alignment horizontal="center" vertical="center" readingOrder="2"/>
    </xf>
    <xf numFmtId="49" fontId="20" fillId="34" borderId="10" applyAlignment="1" pivotButton="0" quotePrefix="0" xfId="0">
      <alignment horizontal="center" vertical="center"/>
    </xf>
    <xf numFmtId="49" fontId="20" fillId="34" borderId="11" applyAlignment="1" pivotButton="0" quotePrefix="0" xfId="0">
      <alignment horizontal="center" vertical="center"/>
    </xf>
    <xf numFmtId="49" fontId="20" fillId="34" borderId="12" applyAlignment="1" pivotButton="0" quotePrefix="0" xfId="0">
      <alignment horizontal="center" vertical="center"/>
    </xf>
    <xf numFmtId="49" fontId="20" fillId="34" borderId="14" applyAlignment="1" pivotButton="0" quotePrefix="0" xfId="0">
      <alignment horizontal="center" vertical="center"/>
    </xf>
    <xf numFmtId="49" fontId="20" fillId="34" borderId="15" applyAlignment="1" pivotButton="0" quotePrefix="0" xfId="0">
      <alignment horizontal="center" vertical="center"/>
    </xf>
    <xf numFmtId="49" fontId="20" fillId="34" borderId="16" applyAlignment="1" pivotButton="0" quotePrefix="0" xfId="0">
      <alignment horizontal="center" vertical="center"/>
    </xf>
    <xf numFmtId="49" fontId="19" fillId="0" borderId="11" applyAlignment="1" pivotButton="0" quotePrefix="0" xfId="0">
      <alignment horizontal="left" vertical="center"/>
    </xf>
    <xf numFmtId="49" fontId="19" fillId="0" borderId="12" applyAlignment="1" pivotButton="0" quotePrefix="0" xfId="0">
      <alignment horizontal="left" vertical="center"/>
    </xf>
    <xf numFmtId="49" fontId="19" fillId="33" borderId="17" applyAlignment="1" pivotButton="0" quotePrefix="0" xfId="0">
      <alignment horizontal="left" vertical="center"/>
    </xf>
    <xf numFmtId="49" fontId="22" fillId="34" borderId="18" applyAlignment="1" pivotButton="0" quotePrefix="0" xfId="0">
      <alignment horizontal="center" vertical="center"/>
    </xf>
    <xf numFmtId="49" fontId="22" fillId="34" borderId="19" applyAlignment="1" pivotButton="0" quotePrefix="0" xfId="0">
      <alignment horizontal="center" vertical="center"/>
    </xf>
    <xf numFmtId="49" fontId="20" fillId="34" borderId="3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49" fontId="22" fillId="34" borderId="3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39" pivotButton="0" quotePrefix="0" xfId="0"/>
    <xf numFmtId="0" fontId="0" fillId="0" borderId="40" pivotButton="0" quotePrefix="0" xfId="0"/>
    <xf numFmtId="49" fontId="24" fillId="0" borderId="33" applyAlignment="1" pivotButton="0" quotePrefix="0" xfId="0">
      <alignment horizontal="center" vertical="center" readingOrder="2"/>
    </xf>
    <xf numFmtId="0" fontId="0" fillId="0" borderId="25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8" xfId="42"/>
    <cellStyle name="Comma" xfId="4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8</col>
      <colOff>361950</colOff>
      <row>1</row>
      <rowOff>123825</rowOff>
    </from>
    <to>
      <col>9</col>
      <colOff>492168</colOff>
      <row>5</row>
      <rowOff>68703</rowOff>
    </to>
    <pic>
      <nvPicPr>
        <cNvPr id="2" name="Picture 4" descr="sp1.bmp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01900" y="323850"/>
          <a:ext cx="825543" cy="8783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192"/>
  <sheetViews>
    <sheetView tabSelected="1" zoomScaleNormal="100" workbookViewId="0">
      <selection activeCell="G4" sqref="G4:I6"/>
    </sheetView>
  </sheetViews>
  <sheetFormatPr baseColWidth="8" defaultColWidth="144.140625" defaultRowHeight="15"/>
  <cols>
    <col width="14.42578125" bestFit="1" customWidth="1" style="27" min="1" max="1"/>
    <col width="66.140625" customWidth="1" style="27" min="2" max="2"/>
    <col width="48.140625" customWidth="1" style="27" min="3" max="3"/>
    <col width="36.42578125" bestFit="1" customWidth="1" style="27" min="4" max="4"/>
    <col width="15.7109375" bestFit="1" customWidth="1" style="27" min="5" max="5"/>
    <col width="17.7109375" bestFit="1" customWidth="1" style="27" min="6" max="6"/>
    <col width="5.28515625" bestFit="1" customWidth="1" style="27" min="7" max="7"/>
    <col width="18.7109375" bestFit="1" customWidth="1" style="27" min="8" max="8"/>
    <col width="10.42578125" bestFit="1" customWidth="1" style="27" min="9" max="9"/>
    <col width="15.28515625" customWidth="1" style="27" min="10" max="10"/>
    <col width="13.42578125" bestFit="1" customWidth="1" style="25" min="11" max="11"/>
    <col width="10.42578125" bestFit="1" customWidth="1" style="25" min="12" max="12"/>
    <col width="42.140625" bestFit="1" customWidth="1" style="25" min="13" max="13"/>
    <col width="9.140625" bestFit="1" customWidth="1" style="25" min="14" max="14"/>
    <col width="15.7109375" bestFit="1" customWidth="1" style="25" min="15" max="15"/>
    <col width="17.7109375" bestFit="1" customWidth="1" style="25" min="16" max="16"/>
    <col width="5.42578125" bestFit="1" customWidth="1" style="25" min="17" max="17"/>
    <col width="8.7109375" bestFit="1" customWidth="1" style="27" min="18" max="21"/>
    <col width="144.140625" customWidth="1" style="27" min="22" max="16384"/>
  </cols>
  <sheetData>
    <row r="1" ht="15.75" customFormat="1" customHeight="1" s="5">
      <c r="A1" s="2" t="inlineStr">
        <is>
          <t xml:space="preserve">Date:             </t>
        </is>
      </c>
      <c r="B1" s="31" t="inlineStr">
        <is>
          <t>04/12/12</t>
        </is>
      </c>
      <c r="C1" s="68" t="inlineStr">
        <is>
          <t>(APQP) رويه طرح ريزي پيشاپيش كيفيت محصول</t>
        </is>
      </c>
      <c r="D1" s="69" t="n"/>
      <c r="E1" s="70" t="n"/>
      <c r="F1" s="2" t="inlineStr">
        <is>
          <t xml:space="preserve">  Product Name :</t>
        </is>
      </c>
      <c r="G1" s="64" t="inlineStr">
        <is>
          <t>PCBA_SMD(SBMi_P207_Soren_Arisun_B2 Sample)</t>
        </is>
      </c>
      <c r="H1" s="69" t="n"/>
      <c r="I1" s="69" t="n"/>
      <c r="J1" s="70" t="n"/>
      <c r="K1" s="3" t="n"/>
      <c r="L1" s="4" t="n"/>
      <c r="M1" s="4" t="n"/>
      <c r="N1" s="4" t="n"/>
      <c r="O1" s="4" t="n"/>
      <c r="P1" s="4" t="n"/>
      <c r="Q1" s="4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</row>
    <row r="2" ht="16.5" customFormat="1" customHeight="1" s="5" thickBot="1">
      <c r="A2" s="6" t="inlineStr">
        <is>
          <t xml:space="preserve">Version:         </t>
        </is>
      </c>
      <c r="B2" s="7" t="inlineStr">
        <is>
          <t>V04</t>
        </is>
      </c>
      <c r="C2" s="71" t="n"/>
      <c r="D2" s="72" t="n"/>
      <c r="E2" s="73" t="n"/>
      <c r="F2" s="8" t="inlineStr">
        <is>
          <t xml:space="preserve">  Technical No :</t>
        </is>
      </c>
      <c r="G2" s="49" t="n"/>
      <c r="J2" s="9" t="n"/>
      <c r="K2" s="3" t="n"/>
      <c r="L2" s="4" t="n"/>
      <c r="M2" s="4" t="n"/>
      <c r="N2" s="4" t="n"/>
      <c r="O2" s="4" t="n"/>
      <c r="P2" s="4" t="n"/>
      <c r="Q2" s="4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</row>
    <row r="3" ht="18.75" customFormat="1" customHeight="1" s="5">
      <c r="A3" s="6" t="inlineStr">
        <is>
          <t xml:space="preserve">Doc Code :    </t>
        </is>
      </c>
      <c r="B3" s="65" t="n"/>
      <c r="C3" s="74" t="n"/>
      <c r="D3" s="75" t="inlineStr">
        <is>
          <t xml:space="preserve">       BOM  (Bill of Material)        </t>
        </is>
      </c>
      <c r="E3" s="10" t="n"/>
      <c r="F3" s="8" t="inlineStr">
        <is>
          <t xml:space="preserve">  Customer:</t>
        </is>
      </c>
      <c r="G3" s="49" t="n"/>
      <c r="J3" s="11" t="inlineStr">
        <is>
          <t>Arm Arm</t>
        </is>
      </c>
      <c r="K3" s="3" t="n"/>
      <c r="L3" s="4" t="n"/>
      <c r="M3" s="4" t="n"/>
      <c r="N3" s="4" t="n"/>
      <c r="O3" s="4" t="n"/>
      <c r="P3" s="4" t="n"/>
      <c r="Q3" s="4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</row>
    <row r="4" ht="19.5" customFormat="1" customHeight="1" s="5" thickBot="1">
      <c r="A4" s="6" t="inlineStr">
        <is>
          <t xml:space="preserve">SCH Name :   </t>
        </is>
      </c>
      <c r="B4" s="65" t="inlineStr">
        <is>
          <t>SBMi_F1K_B2.1</t>
        </is>
      </c>
      <c r="C4" s="74" t="n"/>
      <c r="D4" s="76" t="n"/>
      <c r="E4" s="10" t="n"/>
      <c r="F4" s="8" t="inlineStr">
        <is>
          <t xml:space="preserve">  Provided  by :   </t>
        </is>
      </c>
      <c r="G4" s="49" t="inlineStr">
        <is>
          <t>P.Parsa</t>
        </is>
      </c>
      <c r="J4" s="9" t="n"/>
      <c r="K4" s="3" t="n"/>
      <c r="L4" s="4" t="n"/>
      <c r="M4" s="4" t="n"/>
      <c r="N4" s="4" t="n"/>
      <c r="O4" s="4" t="n"/>
      <c r="P4" s="4" t="n"/>
      <c r="Q4" s="4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</row>
    <row r="5" ht="18.75" customFormat="1" customHeight="1" s="5">
      <c r="A5" s="6" t="inlineStr">
        <is>
          <t>Stock No :</t>
        </is>
      </c>
      <c r="B5" s="49" t="inlineStr">
        <is>
          <t>1201653_F01</t>
        </is>
      </c>
      <c r="D5" s="8" t="n"/>
      <c r="E5" s="12" t="n"/>
      <c r="F5" s="8" t="inlineStr">
        <is>
          <t xml:space="preserve">  Checked  by :</t>
        </is>
      </c>
      <c r="G5" s="49" t="inlineStr">
        <is>
          <t>H.Sargoli</t>
        </is>
      </c>
      <c r="J5" s="9" t="n"/>
      <c r="K5" s="3" t="n"/>
      <c r="L5" s="4" t="n"/>
      <c r="M5" s="4" t="n"/>
      <c r="N5" s="4" t="n"/>
      <c r="O5" s="4" t="n"/>
      <c r="P5" s="4" t="n"/>
      <c r="Q5" s="4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</row>
    <row r="6" ht="18.75" customFormat="1" customHeight="1" s="5">
      <c r="A6" s="6" t="inlineStr">
        <is>
          <t xml:space="preserve">Page:              </t>
        </is>
      </c>
      <c r="B6" s="49" t="inlineStr">
        <is>
          <t>1 of 1</t>
        </is>
      </c>
      <c r="D6" s="8" t="n"/>
      <c r="E6" s="12" t="n"/>
      <c r="F6" s="8" t="inlineStr">
        <is>
          <t xml:space="preserve">  Approved by :</t>
        </is>
      </c>
      <c r="G6" s="50" t="inlineStr">
        <is>
          <t>A.Yeganeh</t>
        </is>
      </c>
      <c r="H6" s="77" t="n"/>
      <c r="I6" s="77" t="n"/>
      <c r="J6" s="9" t="n"/>
      <c r="K6" s="3" t="n"/>
      <c r="L6" s="4" t="n"/>
      <c r="M6" s="4" t="n"/>
      <c r="N6" s="4" t="n"/>
      <c r="O6" s="4" t="n"/>
      <c r="P6" s="4" t="n"/>
      <c r="Q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</row>
    <row r="7" ht="15.75" customFormat="1" customHeight="1" s="3">
      <c r="A7" s="51" t="inlineStr">
        <is>
          <t>Old Valid PCB:</t>
        </is>
      </c>
      <c r="B7" s="78" t="n"/>
      <c r="C7" s="78" t="n"/>
      <c r="D7" s="78" t="n"/>
      <c r="E7" s="78" t="n"/>
      <c r="F7" s="78" t="n"/>
      <c r="G7" s="78" t="n"/>
      <c r="H7" s="78" t="n"/>
      <c r="I7" s="78" t="n"/>
      <c r="J7" s="79" t="n"/>
      <c r="L7" s="4" t="inlineStr">
        <is>
          <t xml:space="preserve">            </t>
        </is>
      </c>
      <c r="M7" s="4" t="inlineStr">
        <is>
          <t xml:space="preserve">            </t>
        </is>
      </c>
      <c r="N7" s="4" t="inlineStr">
        <is>
          <t xml:space="preserve">            </t>
        </is>
      </c>
      <c r="O7" s="4" t="inlineStr">
        <is>
          <t xml:space="preserve">            </t>
        </is>
      </c>
      <c r="P7" s="4" t="inlineStr">
        <is>
          <t xml:space="preserve">            </t>
        </is>
      </c>
      <c r="Q7" s="4" t="inlineStr">
        <is>
          <t xml:space="preserve">            </t>
        </is>
      </c>
      <c r="R7" s="3" t="inlineStr">
        <is>
          <t xml:space="preserve">            </t>
        </is>
      </c>
      <c r="S7" s="3" t="inlineStr">
        <is>
          <t xml:space="preserve">            </t>
        </is>
      </c>
      <c r="T7" s="3" t="inlineStr">
        <is>
          <t xml:space="preserve">            </t>
        </is>
      </c>
      <c r="U7" s="3" t="inlineStr">
        <is>
          <t xml:space="preserve">            </t>
        </is>
      </c>
    </row>
    <row r="8" ht="15.75" customFormat="1" customHeight="1" s="3" thickBot="1">
      <c r="A8" s="80" t="inlineStr">
        <is>
          <t xml:space="preserve">  توزيع نسخ :    1 ـ تحقیق و توسعه    2 ـ توسعه بازار                        بازنگری 0                      کد فرم :18-18-11-02      </t>
        </is>
      </c>
      <c r="B8" s="81" t="n"/>
      <c r="C8" s="81" t="n"/>
      <c r="D8" s="81" t="n"/>
      <c r="E8" s="81" t="n"/>
      <c r="F8" s="81" t="n"/>
      <c r="G8" s="81" t="n"/>
      <c r="H8" s="81" t="n"/>
      <c r="I8" s="81" t="n"/>
      <c r="J8" s="82" t="n"/>
      <c r="K8" s="3" t="inlineStr">
        <is>
          <t>عدد شمارشي</t>
        </is>
      </c>
      <c r="L8" s="4" t="n"/>
      <c r="M8" s="4" t="n"/>
      <c r="N8" s="4" t="n"/>
      <c r="O8" s="4" t="n"/>
      <c r="P8" s="4" t="n"/>
      <c r="Q8" s="4" t="n"/>
    </row>
    <row r="9" ht="18.75" customFormat="1" customHeight="1" s="5">
      <c r="A9" s="46" t="inlineStr">
        <is>
          <t>Item</t>
        </is>
      </c>
      <c r="B9" s="46" t="inlineStr">
        <is>
          <t xml:space="preserve">             Designator             </t>
        </is>
      </c>
      <c r="C9" s="46" t="inlineStr">
        <is>
          <t xml:space="preserve">        Part Name        </t>
        </is>
      </c>
      <c r="D9" s="38" t="inlineStr">
        <is>
          <t>Part No.</t>
        </is>
      </c>
      <c r="E9" s="46" t="inlineStr">
        <is>
          <t>Type/ Material</t>
        </is>
      </c>
      <c r="F9" s="46" t="inlineStr">
        <is>
          <t>Size</t>
        </is>
      </c>
      <c r="G9" s="38" t="inlineStr">
        <is>
          <t>QTY</t>
        </is>
      </c>
      <c r="H9" s="40" t="inlineStr">
        <is>
          <t xml:space="preserve">Brand / Supplier </t>
        </is>
      </c>
      <c r="I9" s="48" t="inlineStr">
        <is>
          <t>MANA</t>
        </is>
      </c>
      <c r="J9" s="43" t="inlineStr">
        <is>
          <t>Note</t>
        </is>
      </c>
      <c r="K9" s="3" t="inlineStr">
        <is>
          <t>1404/12/12</t>
        </is>
      </c>
      <c r="L9" s="44" t="inlineStr">
        <is>
          <t>Alternative</t>
        </is>
      </c>
      <c r="M9" s="78" t="n"/>
      <c r="N9" s="78" t="n"/>
      <c r="O9" s="78" t="n"/>
      <c r="P9" s="79" t="n"/>
      <c r="Q9" s="15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</row>
    <row r="10" ht="15.75" customFormat="1" customHeight="1" s="5">
      <c r="A10" s="83" t="n"/>
      <c r="B10" s="83" t="n"/>
      <c r="C10" s="83" t="n"/>
      <c r="D10" s="83" t="n"/>
      <c r="E10" s="83" t="n"/>
      <c r="F10" s="83" t="n"/>
      <c r="G10" s="83" t="n"/>
      <c r="H10" s="84" t="n"/>
      <c r="I10" s="38" t="inlineStr">
        <is>
          <t>Stock No.</t>
        </is>
      </c>
      <c r="J10" s="85" t="n"/>
      <c r="K10" s="3" t="inlineStr">
        <is>
          <t>16:43:15</t>
        </is>
      </c>
      <c r="L10" s="16" t="inlineStr">
        <is>
          <t>Stock No.</t>
        </is>
      </c>
      <c r="M10" s="16" t="inlineStr">
        <is>
          <t>Component Name</t>
        </is>
      </c>
      <c r="N10" s="16" t="inlineStr">
        <is>
          <t>Part No.</t>
        </is>
      </c>
      <c r="O10" s="16" t="inlineStr">
        <is>
          <t>Type/ Material</t>
        </is>
      </c>
      <c r="P10" s="16" t="inlineStr">
        <is>
          <t>Size</t>
        </is>
      </c>
      <c r="Q10" s="15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</row>
    <row r="11" ht="120" customFormat="1" customHeight="1" s="25">
      <c r="A11" s="17" t="inlineStr">
        <is>
          <t>1</t>
        </is>
      </c>
      <c r="B11" s="32" t="inlineStr">
        <is>
          <t>C100, C107, C108, C109, C110, C111, C112, C113, C114, C115, C116, C117, C118, C119, C120, C121, C122, C123, C124, C125, C126, C127, C128, C129, C130, C132, C150, C163, C164, C165, C166, C167, C168, C169, C170, C173, C174, C175, C176, C177, C178, C179, C180, C185, C186, C188, C189, C191, C192, C194, C195, C204, C224, C228, C244, C246, C248, C250, C252, C254, C256, C258, C260, C262, C264, C266, C268, C270, C272, C274, C276, C278, C280, C284, C286, C288, C290, C292, C294, C296, C298, C300, C302, C304, C306, C326</t>
        </is>
      </c>
      <c r="C11" s="17" t="inlineStr">
        <is>
          <t>Capacitor, X7R,47N,50V,10%</t>
        </is>
      </c>
      <c r="D11" s="17" t="n"/>
      <c r="E11" s="17" t="inlineStr">
        <is>
          <t>SMD</t>
        </is>
      </c>
      <c r="F11" s="17" t="inlineStr">
        <is>
          <t>0603(1608)</t>
        </is>
      </c>
      <c r="G11" s="33" t="inlineStr">
        <is>
          <t>86</t>
        </is>
      </c>
      <c r="H11" s="17" t="inlineStr">
        <is>
          <t>According brand list</t>
        </is>
      </c>
      <c r="I11" s="34" t="inlineStr">
        <is>
          <t>1110101</t>
        </is>
      </c>
      <c r="J11" s="20" t="n"/>
      <c r="K11" s="15" t="inlineStr">
        <is>
          <t>Valid</t>
        </is>
      </c>
      <c r="L11" s="17" t="n"/>
      <c r="M11" s="17" t="n"/>
      <c r="N11" s="17" t="n"/>
      <c r="O11" s="17" t="n"/>
      <c r="P11" s="17" t="n"/>
      <c r="Q11" s="15" t="n"/>
    </row>
    <row r="12" ht="60" customFormat="1" customHeight="1" s="25">
      <c r="A12" s="17" t="inlineStr">
        <is>
          <t>2</t>
        </is>
      </c>
      <c r="B12" s="32" t="inlineStr">
        <is>
          <t>C101, C133, C212, C225, C227, C229, C242, C245, C247, C249, C251, C253, C255, C257, C259, C261, C263, C265, C267, C269, C271, C273, C275, C277, C279, C281, C282, C283, C285, C287, C289, C291, C293, C295, C297, C299, C301, C303, C305, C307</t>
        </is>
      </c>
      <c r="C12" s="17" t="inlineStr">
        <is>
          <t>Capacitor, X7R,10N,50V,10%</t>
        </is>
      </c>
      <c r="D12" s="17" t="n"/>
      <c r="E12" s="17" t="inlineStr">
        <is>
          <t>SMD</t>
        </is>
      </c>
      <c r="F12" s="17" t="inlineStr">
        <is>
          <t>0402(1005)</t>
        </is>
      </c>
      <c r="G12" s="33" t="inlineStr">
        <is>
          <t>40</t>
        </is>
      </c>
      <c r="H12" s="17" t="inlineStr">
        <is>
          <t>According brand list</t>
        </is>
      </c>
      <c r="I12" s="35" t="inlineStr">
        <is>
          <t>1110569</t>
        </is>
      </c>
      <c r="J12" s="20" t="n"/>
      <c r="K12" s="15" t="inlineStr">
        <is>
          <t>Valid*</t>
        </is>
      </c>
      <c r="L12" s="17" t="n"/>
      <c r="M12" s="17" t="n"/>
      <c r="N12" s="17" t="n"/>
      <c r="O12" s="17" t="n"/>
      <c r="P12" s="17" t="n"/>
      <c r="Q12" s="15" t="n"/>
    </row>
    <row r="13" customFormat="1" s="25">
      <c r="A13" s="17" t="inlineStr">
        <is>
          <t>3</t>
        </is>
      </c>
      <c r="B13" s="32" t="inlineStr">
        <is>
          <t>C102, C153, C156, C231</t>
        </is>
      </c>
      <c r="C13" s="17" t="inlineStr">
        <is>
          <t>Capacitor, X7R,1U,16V,10%</t>
        </is>
      </c>
      <c r="D13" s="17" t="n"/>
      <c r="E13" s="17" t="inlineStr">
        <is>
          <t>SMD</t>
        </is>
      </c>
      <c r="F13" s="17" t="inlineStr">
        <is>
          <t>0603(1608)</t>
        </is>
      </c>
      <c r="G13" s="33" t="inlineStr">
        <is>
          <t>4</t>
        </is>
      </c>
      <c r="H13" s="17" t="inlineStr">
        <is>
          <t>According brand list</t>
        </is>
      </c>
      <c r="I13" s="35" t="inlineStr">
        <is>
          <t>1110135</t>
        </is>
      </c>
      <c r="J13" s="20" t="n"/>
      <c r="K13" s="15" t="inlineStr">
        <is>
          <t>Valid</t>
        </is>
      </c>
      <c r="L13" s="17" t="n"/>
      <c r="M13" s="17" t="n"/>
      <c r="N13" s="17" t="n"/>
      <c r="O13" s="17" t="n"/>
      <c r="P13" s="17" t="n"/>
      <c r="Q13" s="15" t="n"/>
    </row>
    <row r="14" ht="30" customFormat="1" customHeight="1" s="25">
      <c r="A14" s="17" t="inlineStr">
        <is>
          <t>4</t>
        </is>
      </c>
      <c r="B14" s="32" t="inlineStr">
        <is>
          <t>C103, C104, C106, C160, C161, C171, C232, C308, C309, C310, C311, C312, C313, C314, C316, C318, C319, C322, C323, C325</t>
        </is>
      </c>
      <c r="C14" s="17" t="inlineStr">
        <is>
          <t>Capacitor, X7R,100N,50V,10%</t>
        </is>
      </c>
      <c r="D14" s="17" t="n"/>
      <c r="E14" s="17" t="inlineStr">
        <is>
          <t>SMD</t>
        </is>
      </c>
      <c r="F14" s="17" t="inlineStr">
        <is>
          <t>0402(1005)</t>
        </is>
      </c>
      <c r="G14" s="33" t="inlineStr">
        <is>
          <t>20</t>
        </is>
      </c>
      <c r="H14" s="17" t="inlineStr">
        <is>
          <t>According brand list</t>
        </is>
      </c>
      <c r="I14" s="35" t="inlineStr">
        <is>
          <t>1110118</t>
        </is>
      </c>
      <c r="J14" s="20" t="n"/>
      <c r="K14" s="15" t="inlineStr">
        <is>
          <t>Valid</t>
        </is>
      </c>
      <c r="L14" s="17" t="n"/>
      <c r="M14" s="17" t="n"/>
      <c r="N14" s="17" t="n"/>
      <c r="O14" s="17" t="n"/>
      <c r="P14" s="17" t="n"/>
      <c r="Q14" s="15" t="n"/>
    </row>
    <row r="15" ht="30" customFormat="1" customHeight="1" s="25">
      <c r="A15" s="17" t="inlineStr">
        <is>
          <t>5</t>
        </is>
      </c>
      <c r="B15" s="32" t="inlineStr">
        <is>
          <t>C105, C154, C155, C157, C162, C172, C190, C193, C196, C197, C198, C202, C203, C222, C223, C230, C334</t>
        </is>
      </c>
      <c r="C15" s="17" t="inlineStr">
        <is>
          <t>Capacitor, X7R,100N,50V,10%</t>
        </is>
      </c>
      <c r="D15" s="17" t="n"/>
      <c r="E15" s="17" t="inlineStr">
        <is>
          <t>SMD</t>
        </is>
      </c>
      <c r="F15" s="17" t="inlineStr">
        <is>
          <t>0603(1608)</t>
        </is>
      </c>
      <c r="G15" s="33" t="inlineStr">
        <is>
          <t>17</t>
        </is>
      </c>
      <c r="H15" s="17" t="inlineStr">
        <is>
          <t>According brand list</t>
        </is>
      </c>
      <c r="I15" s="34" t="inlineStr">
        <is>
          <t>1110095</t>
        </is>
      </c>
      <c r="J15" s="20" t="n"/>
      <c r="K15" s="15" t="inlineStr">
        <is>
          <t>Valid</t>
        </is>
      </c>
      <c r="L15" s="17" t="n"/>
      <c r="M15" s="17" t="n"/>
      <c r="N15" s="17" t="n"/>
      <c r="O15" s="17" t="n"/>
      <c r="P15" s="17" t="n"/>
      <c r="Q15" s="15" t="n"/>
    </row>
    <row r="16" customFormat="1" s="25">
      <c r="A16" s="17" t="inlineStr">
        <is>
          <t>6</t>
        </is>
      </c>
      <c r="B16" s="32" t="inlineStr">
        <is>
          <t>C140, C142, C146, C147, C148, C149, C213, C214</t>
        </is>
      </c>
      <c r="C16" s="17" t="inlineStr">
        <is>
          <t>Capacitor, NP0,68P,50V,5%</t>
        </is>
      </c>
      <c r="D16" s="17" t="n"/>
      <c r="E16" s="17" t="inlineStr">
        <is>
          <t>SMD</t>
        </is>
      </c>
      <c r="F16" s="17" t="inlineStr">
        <is>
          <t>0603(1608)</t>
        </is>
      </c>
      <c r="G16" s="36" t="inlineStr">
        <is>
          <t>8</t>
        </is>
      </c>
      <c r="H16" s="17" t="inlineStr">
        <is>
          <t>According brand list</t>
        </is>
      </c>
      <c r="I16" s="34" t="inlineStr">
        <is>
          <t>1110109</t>
        </is>
      </c>
      <c r="J16" s="20" t="n"/>
      <c r="K16" s="15" t="inlineStr">
        <is>
          <t>Valid</t>
        </is>
      </c>
      <c r="L16" s="17" t="n"/>
      <c r="M16" s="17" t="n"/>
      <c r="N16" s="17" t="n"/>
      <c r="O16" s="17" t="n"/>
      <c r="P16" s="17" t="n"/>
      <c r="Q16" s="15" t="n"/>
    </row>
    <row r="17" customFormat="1" s="25">
      <c r="A17" s="17" t="inlineStr">
        <is>
          <t>7</t>
        </is>
      </c>
      <c r="B17" s="32" t="inlineStr">
        <is>
          <t>C141, C211</t>
        </is>
      </c>
      <c r="C17" s="17" t="inlineStr">
        <is>
          <t>Capacitor, X7R,10N,50V,10%</t>
        </is>
      </c>
      <c r="D17" s="17" t="n"/>
      <c r="E17" s="17" t="inlineStr">
        <is>
          <t>SMD</t>
        </is>
      </c>
      <c r="F17" s="17" t="inlineStr">
        <is>
          <t>0603(1608)</t>
        </is>
      </c>
      <c r="G17" s="33" t="inlineStr">
        <is>
          <t>2</t>
        </is>
      </c>
      <c r="H17" s="17" t="inlineStr">
        <is>
          <t>According brand list</t>
        </is>
      </c>
      <c r="I17" s="34" t="inlineStr">
        <is>
          <t>1110075</t>
        </is>
      </c>
      <c r="J17" s="20" t="n"/>
      <c r="K17" s="15" t="inlineStr">
        <is>
          <t>Valid</t>
        </is>
      </c>
      <c r="L17" s="17" t="n"/>
      <c r="M17" s="17" t="n"/>
      <c r="N17" s="17" t="n"/>
      <c r="O17" s="17" t="n"/>
      <c r="P17" s="17" t="n"/>
      <c r="Q17" s="15" t="n"/>
    </row>
    <row r="18" customFormat="1" s="25">
      <c r="A18" s="17" t="inlineStr">
        <is>
          <t>8</t>
        </is>
      </c>
      <c r="B18" s="32" t="inlineStr">
        <is>
          <t>C143, C144, C159</t>
        </is>
      </c>
      <c r="C18" s="17" t="inlineStr">
        <is>
          <t>Capacitor, X7R,1N,50V,10%</t>
        </is>
      </c>
      <c r="D18" s="17" t="n"/>
      <c r="E18" s="17" t="inlineStr">
        <is>
          <t>SMD</t>
        </is>
      </c>
      <c r="F18" s="17" t="inlineStr">
        <is>
          <t>0603(1608)</t>
        </is>
      </c>
      <c r="G18" s="33" t="inlineStr">
        <is>
          <t>3</t>
        </is>
      </c>
      <c r="H18" s="17" t="inlineStr">
        <is>
          <t>According brand list</t>
        </is>
      </c>
      <c r="I18" s="34" t="inlineStr">
        <is>
          <t>1110132</t>
        </is>
      </c>
      <c r="J18" s="20" t="n"/>
      <c r="K18" s="15" t="inlineStr">
        <is>
          <t>Valid</t>
        </is>
      </c>
      <c r="L18" s="17" t="n"/>
      <c r="M18" s="17" t="n"/>
      <c r="N18" s="17" t="n"/>
      <c r="O18" s="17" t="n"/>
      <c r="P18" s="17" t="n"/>
      <c r="Q18" s="15" t="n"/>
    </row>
    <row r="19" customFormat="1" s="25">
      <c r="A19" s="17" t="inlineStr">
        <is>
          <t>9</t>
        </is>
      </c>
      <c r="B19" s="32" t="inlineStr">
        <is>
          <t>C151, C152, C317, C331, C333</t>
        </is>
      </c>
      <c r="C19" s="17" t="inlineStr">
        <is>
          <t>Capacitor, X7R,4.7U,16V,10%</t>
        </is>
      </c>
      <c r="D19" s="17" t="n"/>
      <c r="E19" s="17" t="inlineStr">
        <is>
          <t>SMD</t>
        </is>
      </c>
      <c r="F19" s="17" t="inlineStr">
        <is>
          <t>1206(3216)</t>
        </is>
      </c>
      <c r="G19" s="33" t="inlineStr">
        <is>
          <t>5</t>
        </is>
      </c>
      <c r="H19" s="17" t="inlineStr">
        <is>
          <t>According brand list</t>
        </is>
      </c>
      <c r="I19" s="35" t="inlineStr">
        <is>
          <t>1102015</t>
        </is>
      </c>
      <c r="J19" s="20" t="n"/>
      <c r="K19" s="15" t="inlineStr">
        <is>
          <t>Valid*</t>
        </is>
      </c>
      <c r="L19" s="17" t="n"/>
      <c r="M19" s="17" t="n"/>
      <c r="N19" s="17" t="n"/>
      <c r="O19" s="17" t="n"/>
      <c r="P19" s="17" t="n"/>
      <c r="Q19" s="15" t="n"/>
    </row>
    <row r="20" customFormat="1" s="25">
      <c r="A20" s="17" t="inlineStr">
        <is>
          <t>10</t>
        </is>
      </c>
      <c r="B20" s="32" t="inlineStr">
        <is>
          <t>C158</t>
        </is>
      </c>
      <c r="C20" s="17" t="inlineStr">
        <is>
          <t>Capacitor, Electrolytic,100U,16V,20%,85°C</t>
        </is>
      </c>
      <c r="D20" s="17" t="n"/>
      <c r="E20" s="17" t="inlineStr">
        <is>
          <t>SMD</t>
        </is>
      </c>
      <c r="F20" s="17" t="inlineStr">
        <is>
          <t>D&lt;6.3 , L&lt;7 , B=6.6</t>
        </is>
      </c>
      <c r="G20" s="36" t="inlineStr">
        <is>
          <t>1</t>
        </is>
      </c>
      <c r="H20" s="17" t="inlineStr">
        <is>
          <t>According brand list</t>
        </is>
      </c>
      <c r="I20" s="35" t="inlineStr">
        <is>
          <t>1110032</t>
        </is>
      </c>
      <c r="J20" s="20" t="n"/>
      <c r="K20" s="15" t="inlineStr">
        <is>
          <t>Valid</t>
        </is>
      </c>
      <c r="L20" s="17" t="inlineStr">
        <is>
          <t>1110105</t>
        </is>
      </c>
      <c r="M20" s="17" t="inlineStr">
        <is>
          <t>Capacitor, Electrolytic,100U,16V,20%,105°C,-40°C</t>
        </is>
      </c>
      <c r="N20" s="17" t="inlineStr">
        <is>
          <t>-</t>
        </is>
      </c>
      <c r="O20" s="17" t="inlineStr">
        <is>
          <t>SMD</t>
        </is>
      </c>
      <c r="P20" s="17" t="inlineStr">
        <is>
          <t>D&lt;6.3 , L&lt;7 , B=6.6</t>
        </is>
      </c>
      <c r="Q20" s="15" t="inlineStr">
        <is>
          <t>Valid</t>
        </is>
      </c>
    </row>
    <row r="21" customFormat="1" s="25">
      <c r="A21" s="17" t="inlineStr">
        <is>
          <t>11</t>
        </is>
      </c>
      <c r="B21" s="32" t="inlineStr">
        <is>
          <t>C315</t>
        </is>
      </c>
      <c r="C21" s="17" t="inlineStr">
        <is>
          <t>Capacitor, X7R,1N,50V,10%</t>
        </is>
      </c>
      <c r="D21" s="17" t="n"/>
      <c r="E21" s="17" t="inlineStr">
        <is>
          <t>SMD</t>
        </is>
      </c>
      <c r="F21" s="17" t="inlineStr">
        <is>
          <t>0402(1005)</t>
        </is>
      </c>
      <c r="G21" s="33" t="inlineStr">
        <is>
          <t>1</t>
        </is>
      </c>
      <c r="H21" s="17" t="inlineStr">
        <is>
          <t>According brand list</t>
        </is>
      </c>
      <c r="I21" s="35" t="inlineStr">
        <is>
          <t>1110131</t>
        </is>
      </c>
      <c r="J21" s="20" t="n"/>
      <c r="K21" s="15" t="inlineStr">
        <is>
          <t>Valid</t>
        </is>
      </c>
      <c r="L21" s="17" t="n"/>
      <c r="M21" s="17" t="n"/>
      <c r="N21" s="17" t="n"/>
      <c r="O21" s="17" t="n"/>
      <c r="P21" s="17" t="n"/>
      <c r="Q21" s="15" t="n"/>
    </row>
    <row r="22" customFormat="1" s="25">
      <c r="A22" s="17" t="inlineStr">
        <is>
          <t>12</t>
        </is>
      </c>
      <c r="B22" s="32" t="inlineStr">
        <is>
          <t>C320, C321</t>
        </is>
      </c>
      <c r="C22" s="17" t="inlineStr">
        <is>
          <t>Capacitor, NP0,10P,50V,5%</t>
        </is>
      </c>
      <c r="D22" s="17" t="n"/>
      <c r="E22" s="17" t="inlineStr">
        <is>
          <t>SMD</t>
        </is>
      </c>
      <c r="F22" s="17" t="inlineStr">
        <is>
          <t>0402(1005)</t>
        </is>
      </c>
      <c r="G22" s="36" t="inlineStr">
        <is>
          <t>2</t>
        </is>
      </c>
      <c r="H22" s="17" t="inlineStr">
        <is>
          <t>According brand list</t>
        </is>
      </c>
      <c r="I22" s="35" t="inlineStr">
        <is>
          <t>1110128</t>
        </is>
      </c>
      <c r="J22" s="20" t="n"/>
      <c r="K22" s="15" t="inlineStr">
        <is>
          <t>Valid</t>
        </is>
      </c>
      <c r="L22" s="17" t="n"/>
      <c r="M22" s="17" t="n"/>
      <c r="N22" s="17" t="n"/>
      <c r="O22" s="17" t="n"/>
      <c r="P22" s="17" t="n"/>
      <c r="Q22" s="15" t="n"/>
    </row>
    <row r="23" customFormat="1" s="25">
      <c r="A23" s="17" t="inlineStr">
        <is>
          <t>13</t>
        </is>
      </c>
      <c r="B23" s="32" t="inlineStr">
        <is>
          <t>C324, C327</t>
        </is>
      </c>
      <c r="C23" s="17" t="inlineStr">
        <is>
          <t>Capacitor, X7R,22N,50V,10%</t>
        </is>
      </c>
      <c r="D23" s="17" t="n"/>
      <c r="E23" s="17" t="inlineStr">
        <is>
          <t>SMD</t>
        </is>
      </c>
      <c r="F23" s="17" t="inlineStr">
        <is>
          <t>0402(1005)</t>
        </is>
      </c>
      <c r="G23" s="36" t="inlineStr">
        <is>
          <t>2</t>
        </is>
      </c>
      <c r="H23" s="17" t="inlineStr">
        <is>
          <t>According brand list</t>
        </is>
      </c>
      <c r="I23" s="35" t="inlineStr">
        <is>
          <t>1110142</t>
        </is>
      </c>
      <c r="J23" s="20" t="n"/>
      <c r="K23" s="15" t="inlineStr">
        <is>
          <t>Valid</t>
        </is>
      </c>
      <c r="L23" s="17" t="n"/>
      <c r="M23" s="17" t="n"/>
      <c r="N23" s="17" t="n"/>
      <c r="O23" s="17" t="n"/>
      <c r="P23" s="17" t="n"/>
      <c r="Q23" s="15" t="n"/>
    </row>
    <row r="24" ht="60" customFormat="1" customHeight="1" s="25">
      <c r="A24" s="17" t="inlineStr">
        <is>
          <t>14</t>
        </is>
      </c>
      <c r="B24" s="32" t="inlineStr">
        <is>
          <t>D101, D104, D105, D107, D108, D109, D110, D111, D112, D113, D114, D115, D116, D117, D122, D123, D124, D125, D126, D127, D128, D129, D163, D164, D165, D166, D167, D168, D170, D176, D178, D185, D190, D192, D194, D198, D199, D201, D203, D204, D206, D207, D209, D210</t>
        </is>
      </c>
      <c r="C24" s="17" t="inlineStr">
        <is>
          <t>Diode, 1N4007WS</t>
        </is>
      </c>
      <c r="D24" s="17" t="inlineStr">
        <is>
          <t>1N4007WS</t>
        </is>
      </c>
      <c r="E24" s="17" t="inlineStr">
        <is>
          <t>SMD</t>
        </is>
      </c>
      <c r="F24" s="17" t="inlineStr">
        <is>
          <t>SOD-323</t>
        </is>
      </c>
      <c r="G24" s="36" t="inlineStr">
        <is>
          <t>44</t>
        </is>
      </c>
      <c r="H24" s="17" t="inlineStr">
        <is>
          <t>MDD</t>
        </is>
      </c>
      <c r="I24" s="35" t="inlineStr">
        <is>
          <t>1110901</t>
        </is>
      </c>
      <c r="J24" s="20" t="n"/>
      <c r="K24" s="15" t="inlineStr">
        <is>
          <t>Valid</t>
        </is>
      </c>
      <c r="L24" s="17" t="n"/>
      <c r="M24" s="17" t="n"/>
      <c r="N24" s="17" t="n"/>
      <c r="O24" s="17" t="n"/>
      <c r="P24" s="17" t="n"/>
      <c r="Q24" s="15" t="n"/>
    </row>
    <row r="25" ht="30" customFormat="1" customHeight="1" s="25">
      <c r="A25" s="17" t="inlineStr">
        <is>
          <t>15</t>
        </is>
      </c>
      <c r="B25" s="32" t="inlineStr">
        <is>
          <t>D102, D159, D160, D161, D162, D169, D171, D173, D175, D177, D179, D180, D181, D182, D183, D187, D189, D191, D193, D195, D197, D211</t>
        </is>
      </c>
      <c r="C25" s="17" t="inlineStr">
        <is>
          <t>Diode, Switching Diode, 70V,215mA,Dual</t>
        </is>
      </c>
      <c r="D25" s="17" t="inlineStr">
        <is>
          <t xml:space="preserve">SBAV99WT1G </t>
        </is>
      </c>
      <c r="E25" s="17" t="inlineStr">
        <is>
          <t>SMD</t>
        </is>
      </c>
      <c r="F25" s="17" t="inlineStr">
        <is>
          <t>SOT-323</t>
        </is>
      </c>
      <c r="G25" s="36" t="inlineStr">
        <is>
          <t>22</t>
        </is>
      </c>
      <c r="H25" s="17" t="inlineStr">
        <is>
          <t>ONSemi</t>
        </is>
      </c>
      <c r="I25" s="35" t="inlineStr">
        <is>
          <t>1110914</t>
        </is>
      </c>
      <c r="J25" s="20" t="n"/>
      <c r="K25" s="15" t="inlineStr">
        <is>
          <t>Valid</t>
        </is>
      </c>
      <c r="L25" s="17" t="n"/>
      <c r="M25" s="17" t="n"/>
      <c r="N25" s="17" t="n"/>
      <c r="O25" s="17" t="n"/>
      <c r="P25" s="17" t="n"/>
      <c r="Q25" s="15" t="n"/>
    </row>
    <row r="26" customFormat="1" s="25">
      <c r="A26" s="17" t="inlineStr">
        <is>
          <t>16</t>
        </is>
      </c>
      <c r="B26" s="32" t="inlineStr">
        <is>
          <t>D103, D106, D155</t>
        </is>
      </c>
      <c r="C26" s="17" t="inlineStr">
        <is>
          <t>Diode ESD, CAN Bus ESD protection Diode,24V,5A,230W</t>
        </is>
      </c>
      <c r="D26" s="17" t="inlineStr">
        <is>
          <t>PESD2CAN</t>
        </is>
      </c>
      <c r="E26" s="17" t="inlineStr">
        <is>
          <t>SMD</t>
        </is>
      </c>
      <c r="F26" s="17" t="inlineStr">
        <is>
          <t>SOT-23-3</t>
        </is>
      </c>
      <c r="G26" s="36" t="inlineStr">
        <is>
          <t>3</t>
        </is>
      </c>
      <c r="H26" s="17" t="inlineStr">
        <is>
          <t>NXP</t>
        </is>
      </c>
      <c r="I26" s="35" t="inlineStr">
        <is>
          <t>1110630</t>
        </is>
      </c>
      <c r="J26" s="20" t="n"/>
      <c r="K26" s="15" t="inlineStr">
        <is>
          <t>Valid</t>
        </is>
      </c>
      <c r="L26" s="17" t="n"/>
      <c r="M26" s="17" t="n"/>
      <c r="N26" s="17" t="n"/>
      <c r="O26" s="17" t="n"/>
      <c r="P26" s="17" t="n"/>
      <c r="Q26" s="15" t="n"/>
    </row>
    <row r="27" customFormat="1" s="25">
      <c r="A27" s="17" t="inlineStr">
        <is>
          <t>17</t>
        </is>
      </c>
      <c r="B27" s="32" t="inlineStr">
        <is>
          <t>D148, D149, D150, D151, D158</t>
        </is>
      </c>
      <c r="C27" s="17" t="inlineStr">
        <is>
          <t>Diode, Ultra Fast Diode, 1000V,1A</t>
        </is>
      </c>
      <c r="D27" s="17" t="inlineStr">
        <is>
          <t>US1M</t>
        </is>
      </c>
      <c r="E27" s="17" t="inlineStr">
        <is>
          <t>SMD</t>
        </is>
      </c>
      <c r="F27" s="17" t="inlineStr">
        <is>
          <t>DO-214AC(SMA)</t>
        </is>
      </c>
      <c r="G27" s="36" t="inlineStr">
        <is>
          <t>5</t>
        </is>
      </c>
      <c r="H27" s="17" t="inlineStr">
        <is>
          <t>VISHAY</t>
        </is>
      </c>
      <c r="I27" s="35" t="inlineStr">
        <is>
          <t>1110920</t>
        </is>
      </c>
      <c r="J27" s="20" t="n"/>
      <c r="K27" s="15" t="inlineStr">
        <is>
          <t>Valid</t>
        </is>
      </c>
      <c r="L27" s="17" t="n"/>
      <c r="M27" s="17" t="n"/>
      <c r="N27" s="17" t="n"/>
      <c r="O27" s="17" t="n"/>
      <c r="P27" s="17" t="n"/>
      <c r="Q27" s="15" t="n"/>
    </row>
    <row r="28" customFormat="1" s="25">
      <c r="A28" s="17" t="inlineStr">
        <is>
          <t>18</t>
        </is>
      </c>
      <c r="B28" s="32" t="inlineStr">
        <is>
          <t>D208</t>
        </is>
      </c>
      <c r="C28" s="17" t="inlineStr">
        <is>
          <t>Diode Zener, 3.3V,5%,0.5W</t>
        </is>
      </c>
      <c r="D28" s="17" t="inlineStr">
        <is>
          <t>MMSZ5226B</t>
        </is>
      </c>
      <c r="E28" s="17" t="inlineStr">
        <is>
          <t>SMD</t>
        </is>
      </c>
      <c r="F28" s="17" t="inlineStr">
        <is>
          <t>SOD-123</t>
        </is>
      </c>
      <c r="G28" s="36" t="inlineStr">
        <is>
          <t>1</t>
        </is>
      </c>
      <c r="H28" s="17" t="inlineStr">
        <is>
          <t>MCC</t>
        </is>
      </c>
      <c r="I28" s="35" t="inlineStr">
        <is>
          <t>1101922</t>
        </is>
      </c>
      <c r="J28" s="20" t="n"/>
      <c r="K28" s="15" t="inlineStr">
        <is>
          <t>Valid*</t>
        </is>
      </c>
      <c r="L28" s="17" t="n"/>
      <c r="M28" s="17" t="n"/>
      <c r="N28" s="17" t="n"/>
      <c r="O28" s="17" t="n"/>
      <c r="P28" s="17" t="n"/>
      <c r="Q28" s="15" t="n"/>
    </row>
    <row r="29" customFormat="1" s="25">
      <c r="A29" s="17" t="inlineStr">
        <is>
          <t>19</t>
        </is>
      </c>
      <c r="B29" s="32" t="inlineStr">
        <is>
          <t>FB100</t>
        </is>
      </c>
      <c r="C29" s="17" t="inlineStr">
        <is>
          <t>Inductor, Ferrite Bead,1 Line,1.8K?@100MHz,0.2A,1.4?</t>
        </is>
      </c>
      <c r="D29" s="17" t="inlineStr">
        <is>
          <t>BLM15BD182SH1</t>
        </is>
      </c>
      <c r="E29" s="17" t="inlineStr">
        <is>
          <t>SMD</t>
        </is>
      </c>
      <c r="F29" s="17" t="inlineStr">
        <is>
          <t>0402(1005)</t>
        </is>
      </c>
      <c r="G29" s="36" t="inlineStr">
        <is>
          <t>1</t>
        </is>
      </c>
      <c r="H29" s="17" t="n"/>
      <c r="I29" s="35" t="inlineStr">
        <is>
          <t>1111832</t>
        </is>
      </c>
      <c r="J29" s="20" t="n"/>
      <c r="K29" s="15" t="inlineStr">
        <is>
          <t>Valid_P*</t>
        </is>
      </c>
      <c r="L29" s="17" t="n"/>
      <c r="M29" s="17" t="n"/>
      <c r="N29" s="17" t="n"/>
      <c r="O29" s="17" t="n"/>
      <c r="P29" s="17" t="n"/>
      <c r="Q29" s="15" t="n"/>
    </row>
    <row r="30" customFormat="1" s="25">
      <c r="A30" s="17" t="inlineStr">
        <is>
          <t>20</t>
        </is>
      </c>
      <c r="B30" s="32" t="inlineStr">
        <is>
          <t>Q100</t>
        </is>
      </c>
      <c r="C30" s="17" t="inlineStr">
        <is>
          <t>TRANSISTOR, Power BJT PNP,-60V,-1A,1.4W</t>
        </is>
      </c>
      <c r="D30" s="17" t="inlineStr">
        <is>
          <t xml:space="preserve"> BCP52-16</t>
        </is>
      </c>
      <c r="E30" s="17" t="n"/>
      <c r="F30" s="17" t="n"/>
      <c r="G30" s="36" t="inlineStr">
        <is>
          <t>1</t>
        </is>
      </c>
      <c r="H30" s="17" t="n"/>
      <c r="I30" s="35" t="inlineStr">
        <is>
          <t>1110653</t>
        </is>
      </c>
      <c r="J30" s="20" t="n"/>
      <c r="K30" s="15" t="inlineStr">
        <is>
          <t>Valid*</t>
        </is>
      </c>
      <c r="L30" s="17" t="n"/>
      <c r="M30" s="17" t="n"/>
      <c r="N30" s="17" t="n"/>
      <c r="O30" s="17" t="n"/>
      <c r="P30" s="17" t="n"/>
      <c r="Q30" s="15" t="n"/>
    </row>
    <row r="31" customFormat="1" s="25">
      <c r="A31" s="17" t="inlineStr">
        <is>
          <t>21</t>
        </is>
      </c>
      <c r="B31" s="32" t="inlineStr">
        <is>
          <t>Q101, Q105, Q106, Q108, Q113, Q114, Q116</t>
        </is>
      </c>
      <c r="C31" s="17" t="inlineStr">
        <is>
          <t>Transistor, PNP,500mA,45V</t>
        </is>
      </c>
      <c r="D31" s="17" t="inlineStr">
        <is>
          <t>Typical_BC807-40W</t>
        </is>
      </c>
      <c r="E31" s="17" t="inlineStr">
        <is>
          <t>SMD</t>
        </is>
      </c>
      <c r="F31" s="17" t="inlineStr">
        <is>
          <t>SOT-323</t>
        </is>
      </c>
      <c r="G31" s="36" t="inlineStr">
        <is>
          <t>7</t>
        </is>
      </c>
      <c r="H31" s="17" t="inlineStr">
        <is>
          <t>According brand list</t>
        </is>
      </c>
      <c r="I31" s="35" t="inlineStr">
        <is>
          <t>1110655</t>
        </is>
      </c>
      <c r="J31" s="20" t="n"/>
      <c r="K31" s="15" t="inlineStr">
        <is>
          <t>Valid*</t>
        </is>
      </c>
      <c r="L31" s="17" t="n"/>
      <c r="M31" s="17" t="n"/>
      <c r="N31" s="17" t="n"/>
      <c r="O31" s="17" t="n"/>
      <c r="P31" s="17" t="n"/>
      <c r="Q31" s="15" t="n"/>
    </row>
    <row r="32" customFormat="1" s="25">
      <c r="A32" s="17" t="inlineStr">
        <is>
          <t>22</t>
        </is>
      </c>
      <c r="B32" s="32" t="inlineStr">
        <is>
          <t>Q102</t>
        </is>
      </c>
      <c r="C32" s="17" t="inlineStr">
        <is>
          <t>Transistor, PNP,500mA,45V</t>
        </is>
      </c>
      <c r="D32" s="17" t="inlineStr">
        <is>
          <t>Typical_BC807-40</t>
        </is>
      </c>
      <c r="E32" s="17" t="inlineStr">
        <is>
          <t>SMD</t>
        </is>
      </c>
      <c r="F32" s="17" t="inlineStr">
        <is>
          <t>SOT-23-3</t>
        </is>
      </c>
      <c r="G32" s="36" t="inlineStr">
        <is>
          <t>1</t>
        </is>
      </c>
      <c r="H32" s="17" t="inlineStr">
        <is>
          <t>According brand list</t>
        </is>
      </c>
      <c r="I32" s="35" t="inlineStr">
        <is>
          <t>1110604</t>
        </is>
      </c>
      <c r="J32" s="20" t="n"/>
      <c r="K32" s="15" t="inlineStr">
        <is>
          <t>Valid</t>
        </is>
      </c>
      <c r="L32" s="17" t="n"/>
      <c r="M32" s="17" t="n"/>
      <c r="N32" s="17" t="n"/>
      <c r="O32" s="17" t="n"/>
      <c r="P32" s="17" t="n"/>
      <c r="Q32" s="15" t="n"/>
    </row>
    <row r="33" customFormat="1" s="25">
      <c r="A33" s="17" t="inlineStr">
        <is>
          <t>23</t>
        </is>
      </c>
      <c r="B33" s="32" t="inlineStr">
        <is>
          <t>Q103, Q104, Q107, Q109, Q111, Q112, Q115, Q117</t>
        </is>
      </c>
      <c r="C33" s="17" t="inlineStr">
        <is>
          <t>Transistor, NPN,500mA,45V</t>
        </is>
      </c>
      <c r="D33" s="17" t="inlineStr">
        <is>
          <t>Typical_BC817-40W</t>
        </is>
      </c>
      <c r="E33" s="17" t="inlineStr">
        <is>
          <t>SMD</t>
        </is>
      </c>
      <c r="F33" s="17" t="inlineStr">
        <is>
          <t>SOT-323</t>
        </is>
      </c>
      <c r="G33" s="36" t="inlineStr">
        <is>
          <t>8</t>
        </is>
      </c>
      <c r="H33" s="17" t="inlineStr">
        <is>
          <t>According brand list</t>
        </is>
      </c>
      <c r="I33" s="35" t="inlineStr">
        <is>
          <t>1110654</t>
        </is>
      </c>
      <c r="J33" s="20" t="n"/>
      <c r="K33" s="15" t="inlineStr">
        <is>
          <t>Valid*</t>
        </is>
      </c>
      <c r="L33" s="17" t="n"/>
      <c r="M33" s="17" t="n"/>
      <c r="N33" s="17" t="n"/>
      <c r="O33" s="17" t="n"/>
      <c r="P33" s="17" t="n"/>
      <c r="Q33" s="15" t="n"/>
    </row>
    <row r="34" ht="30" customFormat="1" customHeight="1" s="25">
      <c r="A34" s="17" t="inlineStr">
        <is>
          <t>24</t>
        </is>
      </c>
      <c r="B34" s="32" t="inlineStr">
        <is>
          <t>R100, R324, R327, R330, R333, R336, R339, R368, R383, R388, R416, R426, R431, R436, R446</t>
        </is>
      </c>
      <c r="C34" s="17" t="inlineStr">
        <is>
          <t>Resistor, 1.8K,5%,1/4W</t>
        </is>
      </c>
      <c r="D34" s="17" t="n"/>
      <c r="E34" s="17" t="inlineStr">
        <is>
          <t>SMD</t>
        </is>
      </c>
      <c r="F34" s="17" t="inlineStr">
        <is>
          <t>1206(3216)</t>
        </is>
      </c>
      <c r="G34" s="36" t="inlineStr">
        <is>
          <t>15</t>
        </is>
      </c>
      <c r="H34" s="17" t="inlineStr">
        <is>
          <t>According brand list</t>
        </is>
      </c>
      <c r="I34" s="35" t="inlineStr">
        <is>
          <t>1110364</t>
        </is>
      </c>
      <c r="J34" s="20" t="n"/>
      <c r="K34" s="15" t="inlineStr">
        <is>
          <t>Valid</t>
        </is>
      </c>
      <c r="L34" s="17" t="n"/>
      <c r="M34" s="17" t="n"/>
      <c r="N34" s="17" t="n"/>
      <c r="O34" s="17" t="n"/>
      <c r="P34" s="17" t="n"/>
      <c r="Q34" s="15" t="n"/>
    </row>
    <row r="35" ht="75" customFormat="1" customHeight="1" s="25">
      <c r="A35" s="17" t="inlineStr">
        <is>
          <t>25</t>
        </is>
      </c>
      <c r="B35" s="32" t="inlineStr">
        <is>
          <t>R101, R102, R134, R249, R325, R326, R328, R329, R331, R332, R334, R335, R337, R338, R340, R341, R342, R344, R345, R347, R348, R350, R351, R353, R354, R356, R357, R359, R360, R362, R363, R365, R369, R371, R374, R376, R379, R381, R384, R386, R389, R391, R397, R400, R403, R408, R409, R413, R414, R418, R419, R428, R429, R433, R434, R438, R439, R443, R448, R449</t>
        </is>
      </c>
      <c r="C35" s="17" t="inlineStr">
        <is>
          <t>Resistor, 22K,5%,1/16W</t>
        </is>
      </c>
      <c r="D35" s="17" t="n"/>
      <c r="E35" s="17" t="inlineStr">
        <is>
          <t>SMD</t>
        </is>
      </c>
      <c r="F35" s="17" t="inlineStr">
        <is>
          <t>0402(1005)</t>
        </is>
      </c>
      <c r="G35" s="33" t="inlineStr">
        <is>
          <t>60</t>
        </is>
      </c>
      <c r="H35" s="17" t="inlineStr">
        <is>
          <t>According brand list</t>
        </is>
      </c>
      <c r="I35" s="35" t="inlineStr">
        <is>
          <t>1110576</t>
        </is>
      </c>
      <c r="J35" s="20" t="n"/>
      <c r="K35" s="15" t="inlineStr">
        <is>
          <t>Valid*</t>
        </is>
      </c>
      <c r="L35" s="17" t="n"/>
      <c r="M35" s="17" t="n"/>
      <c r="N35" s="17" t="n"/>
      <c r="O35" s="17" t="n"/>
      <c r="P35" s="17" t="n"/>
      <c r="Q35" s="15" t="n"/>
    </row>
    <row r="36" ht="30" customFormat="1" customHeight="1" s="25">
      <c r="A36" s="17" t="inlineStr">
        <is>
          <t>26</t>
        </is>
      </c>
      <c r="B36" s="32" t="inlineStr">
        <is>
          <t>R103, R104, R105, R106, R107, R108, R111, R112, R113, R114, R115, R116, R117, R118, R119, R120, R121, R122, R123, R124, R125, R126, R127, R128</t>
        </is>
      </c>
      <c r="C36" s="17" t="inlineStr">
        <is>
          <t>Resistor, 100,5%,1/10W</t>
        </is>
      </c>
      <c r="D36" s="17" t="n"/>
      <c r="E36" s="17" t="inlineStr">
        <is>
          <t>SMD</t>
        </is>
      </c>
      <c r="F36" s="17" t="inlineStr">
        <is>
          <t>0603(1608)</t>
        </is>
      </c>
      <c r="G36" s="33" t="inlineStr">
        <is>
          <t>24</t>
        </is>
      </c>
      <c r="H36" s="17" t="inlineStr">
        <is>
          <t>According brand list</t>
        </is>
      </c>
      <c r="I36" s="34" t="inlineStr">
        <is>
          <t>1101036</t>
        </is>
      </c>
      <c r="J36" s="20" t="n"/>
      <c r="K36" s="15" t="inlineStr">
        <is>
          <t>Valid</t>
        </is>
      </c>
      <c r="L36" s="17" t="n"/>
      <c r="M36" s="17" t="n"/>
      <c r="N36" s="17" t="n"/>
      <c r="O36" s="17" t="n"/>
      <c r="P36" s="17" t="n"/>
      <c r="Q36" s="15" t="n"/>
    </row>
    <row r="37" ht="30" customFormat="1" customHeight="1" s="25">
      <c r="A37" s="17" t="inlineStr">
        <is>
          <t>27</t>
        </is>
      </c>
      <c r="B37" s="32" t="inlineStr">
        <is>
          <t>R109, R236, R237, R250, R260, R261, R294, R299, R450, R461, R469, R474, R476, R477, R479, R480, R482, R484</t>
        </is>
      </c>
      <c r="C37" s="17" t="inlineStr">
        <is>
          <t>Resistor, 10K,5%,1/16W</t>
        </is>
      </c>
      <c r="D37" s="17" t="n"/>
      <c r="E37" s="17" t="inlineStr">
        <is>
          <t>SMD</t>
        </is>
      </c>
      <c r="F37" s="17" t="inlineStr">
        <is>
          <t>0402(1005)</t>
        </is>
      </c>
      <c r="G37" s="36" t="inlineStr">
        <is>
          <t>18</t>
        </is>
      </c>
      <c r="H37" s="17" t="inlineStr">
        <is>
          <t>According brand list</t>
        </is>
      </c>
      <c r="I37" s="35" t="inlineStr">
        <is>
          <t>1110703</t>
        </is>
      </c>
      <c r="J37" s="20" t="n"/>
      <c r="K37" s="15" t="inlineStr">
        <is>
          <t>Valid</t>
        </is>
      </c>
      <c r="L37" s="17" t="n"/>
      <c r="M37" s="17" t="n"/>
      <c r="N37" s="17" t="n"/>
      <c r="O37" s="17" t="n"/>
      <c r="P37" s="17" t="n"/>
      <c r="Q37" s="15" t="n"/>
    </row>
    <row r="38" ht="45" customFormat="1" customHeight="1" s="25">
      <c r="A38" s="17" t="inlineStr">
        <is>
          <t>28</t>
        </is>
      </c>
      <c r="B38" s="32" t="inlineStr">
        <is>
          <t>R129, R130, R131, R132, R133, R136, R137, R138, R139, R140, R141, R146, R147, R148, R149, R263, R264, R266, R267, R270, R272, R308, R309, R310, R312, R313, R314, R315, R316, R372, R377, R405, R410, R440, R456, R481</t>
        </is>
      </c>
      <c r="C38" s="17" t="inlineStr">
        <is>
          <t>Resistor, 0R,5%,1/16W</t>
        </is>
      </c>
      <c r="D38" s="17" t="n"/>
      <c r="E38" s="17" t="inlineStr">
        <is>
          <t>SMD</t>
        </is>
      </c>
      <c r="F38" s="17" t="inlineStr">
        <is>
          <t>0402(1005)</t>
        </is>
      </c>
      <c r="G38" s="36" t="inlineStr">
        <is>
          <t>36</t>
        </is>
      </c>
      <c r="H38" s="17" t="inlineStr">
        <is>
          <t>According brand list</t>
        </is>
      </c>
      <c r="I38" s="35" t="inlineStr">
        <is>
          <t>1110276</t>
        </is>
      </c>
      <c r="J38" s="20" t="n"/>
      <c r="K38" s="15" t="inlineStr">
        <is>
          <t>Valid</t>
        </is>
      </c>
      <c r="L38" s="17" t="n"/>
      <c r="M38" s="17" t="n"/>
      <c r="N38" s="17" t="n"/>
      <c r="O38" s="17" t="n"/>
      <c r="P38" s="17" t="n"/>
      <c r="Q38" s="15" t="n"/>
    </row>
    <row r="39" ht="30" customFormat="1" customHeight="1" s="25">
      <c r="A39" s="17" t="inlineStr">
        <is>
          <t>29</t>
        </is>
      </c>
      <c r="B39" s="32" t="inlineStr">
        <is>
          <t>R135, R246, R247, R248, R343, R346, R349, R352, R355, R358, R361, R364, R375, R380, R407, R411</t>
        </is>
      </c>
      <c r="C39" s="17" t="inlineStr">
        <is>
          <t>Resistor, 1.2K,5%,1/4W</t>
        </is>
      </c>
      <c r="D39" s="17" t="n"/>
      <c r="E39" s="17" t="inlineStr">
        <is>
          <t>SMD</t>
        </is>
      </c>
      <c r="F39" s="17" t="inlineStr">
        <is>
          <t>1206(3216)</t>
        </is>
      </c>
      <c r="G39" s="36" t="inlineStr">
        <is>
          <t>16</t>
        </is>
      </c>
      <c r="H39" s="17" t="inlineStr">
        <is>
          <t>According brand list</t>
        </is>
      </c>
      <c r="I39" s="35" t="inlineStr">
        <is>
          <t>1110284</t>
        </is>
      </c>
      <c r="J39" s="20" t="n"/>
      <c r="K39" s="15" t="inlineStr">
        <is>
          <t>Valid</t>
        </is>
      </c>
      <c r="L39" s="17" t="n"/>
      <c r="M39" s="17" t="n"/>
      <c r="N39" s="17" t="n"/>
      <c r="O39" s="17" t="n"/>
      <c r="P39" s="17" t="n"/>
      <c r="Q39" s="15" t="n"/>
    </row>
    <row r="40" customFormat="1" s="25">
      <c r="A40" s="17" t="inlineStr">
        <is>
          <t>30</t>
        </is>
      </c>
      <c r="B40" s="32" t="inlineStr">
        <is>
          <t>R142, R143</t>
        </is>
      </c>
      <c r="C40" s="17" t="inlineStr">
        <is>
          <t>Resistor, 60.4,1%,1/4W,-55°C,155 °C</t>
        </is>
      </c>
      <c r="D40" s="17" t="inlineStr">
        <is>
          <t>AC1206FR-0760R4L</t>
        </is>
      </c>
      <c r="E40" s="17" t="inlineStr">
        <is>
          <t>SMD</t>
        </is>
      </c>
      <c r="F40" s="17" t="inlineStr">
        <is>
          <t>1206(3216)</t>
        </is>
      </c>
      <c r="G40" s="36" t="inlineStr">
        <is>
          <t>2</t>
        </is>
      </c>
      <c r="H40" s="17" t="inlineStr">
        <is>
          <t>Yageo</t>
        </is>
      </c>
      <c r="I40" s="35" t="inlineStr">
        <is>
          <t>1110690</t>
        </is>
      </c>
      <c r="J40" s="20" t="n"/>
      <c r="K40" s="15" t="inlineStr">
        <is>
          <t>Valid_P(EMS)</t>
        </is>
      </c>
      <c r="L40" s="17" t="n"/>
      <c r="M40" s="17" t="n"/>
      <c r="N40" s="17" t="n"/>
      <c r="O40" s="17" t="n"/>
      <c r="P40" s="17" t="n"/>
      <c r="Q40" s="15" t="n"/>
    </row>
    <row r="41" customFormat="1" s="25">
      <c r="A41" s="17" t="inlineStr">
        <is>
          <t>31</t>
        </is>
      </c>
      <c r="B41" s="32" t="inlineStr">
        <is>
          <t>R144, R145</t>
        </is>
      </c>
      <c r="C41" s="17" t="inlineStr">
        <is>
          <t>Resistor, 1K,5%,1/4W</t>
        </is>
      </c>
      <c r="D41" s="17" t="n"/>
      <c r="E41" s="17" t="inlineStr">
        <is>
          <t>SMD</t>
        </is>
      </c>
      <c r="F41" s="17" t="inlineStr">
        <is>
          <t>1206(3216)</t>
        </is>
      </c>
      <c r="G41" s="36" t="inlineStr">
        <is>
          <t>2</t>
        </is>
      </c>
      <c r="H41" s="17" t="inlineStr">
        <is>
          <t>According brand list</t>
        </is>
      </c>
      <c r="I41" s="35" t="inlineStr">
        <is>
          <t>1110376</t>
        </is>
      </c>
      <c r="J41" s="20" t="n"/>
      <c r="K41" s="15" t="inlineStr">
        <is>
          <t>Valid</t>
        </is>
      </c>
      <c r="L41" s="17" t="inlineStr">
        <is>
          <t>1110281</t>
        </is>
      </c>
      <c r="M41" s="17" t="inlineStr">
        <is>
          <t>Resistor, 1K,1%,1/4W</t>
        </is>
      </c>
      <c r="N41" s="17" t="inlineStr">
        <is>
          <t>-</t>
        </is>
      </c>
      <c r="O41" s="17" t="inlineStr">
        <is>
          <t>SMD</t>
        </is>
      </c>
      <c r="P41" s="17" t="inlineStr">
        <is>
          <t>1206(3216)</t>
        </is>
      </c>
      <c r="Q41" s="15" t="inlineStr">
        <is>
          <t>Valid</t>
        </is>
      </c>
    </row>
    <row r="42" customFormat="1" s="25">
      <c r="A42" s="17" t="inlineStr">
        <is>
          <t>32</t>
        </is>
      </c>
      <c r="B42" s="32" t="inlineStr">
        <is>
          <t>R150, R152, R170, R187</t>
        </is>
      </c>
      <c r="C42" s="17" t="inlineStr">
        <is>
          <t>Resistor, 100,5%,1/16W</t>
        </is>
      </c>
      <c r="D42" s="17" t="n"/>
      <c r="E42" s="17" t="inlineStr">
        <is>
          <t>SMD</t>
        </is>
      </c>
      <c r="F42" s="17" t="inlineStr">
        <is>
          <t>0402(1005)</t>
        </is>
      </c>
      <c r="G42" s="33" t="inlineStr">
        <is>
          <t>4</t>
        </is>
      </c>
      <c r="H42" s="17" t="inlineStr">
        <is>
          <t>According brand list</t>
        </is>
      </c>
      <c r="I42" s="35" t="inlineStr">
        <is>
          <t>1110199</t>
        </is>
      </c>
      <c r="J42" s="20" t="n"/>
      <c r="K42" s="15" t="inlineStr">
        <is>
          <t>Valid</t>
        </is>
      </c>
      <c r="L42" s="17" t="n"/>
      <c r="M42" s="17" t="n"/>
      <c r="N42" s="17" t="n"/>
      <c r="O42" s="17" t="n"/>
      <c r="P42" s="17" t="n"/>
      <c r="Q42" s="15" t="n"/>
    </row>
    <row r="43" customFormat="1" s="25">
      <c r="A43" s="17" t="inlineStr">
        <is>
          <t>33</t>
        </is>
      </c>
      <c r="B43" s="32" t="inlineStr">
        <is>
          <t>R151, R202, R213, R217, R220, R224, R227, R297</t>
        </is>
      </c>
      <c r="C43" s="17" t="inlineStr">
        <is>
          <t>Resistor, 47K,5%,1/16W</t>
        </is>
      </c>
      <c r="D43" s="17" t="n"/>
      <c r="E43" s="17" t="inlineStr">
        <is>
          <t>SMD</t>
        </is>
      </c>
      <c r="F43" s="17" t="inlineStr">
        <is>
          <t>0402(1005)</t>
        </is>
      </c>
      <c r="G43" s="36" t="inlineStr">
        <is>
          <t>8</t>
        </is>
      </c>
      <c r="H43" s="17" t="inlineStr">
        <is>
          <t>According brand list</t>
        </is>
      </c>
      <c r="I43" s="35" t="inlineStr">
        <is>
          <t>1110584</t>
        </is>
      </c>
      <c r="J43" s="20" t="n"/>
      <c r="K43" s="15" t="inlineStr">
        <is>
          <t>Valid*</t>
        </is>
      </c>
      <c r="L43" s="17" t="n"/>
      <c r="M43" s="17" t="n"/>
      <c r="N43" s="17" t="n"/>
      <c r="O43" s="17" t="n"/>
      <c r="P43" s="17" t="n"/>
      <c r="Q43" s="15" t="n"/>
    </row>
    <row r="44" customFormat="1" s="25">
      <c r="A44" s="17" t="inlineStr">
        <is>
          <t>34</t>
        </is>
      </c>
      <c r="B44" s="32" t="inlineStr">
        <is>
          <t>R157</t>
        </is>
      </c>
      <c r="C44" s="17" t="inlineStr">
        <is>
          <t>Resistor, 1R,1%,1/4W</t>
        </is>
      </c>
      <c r="D44" s="17" t="n"/>
      <c r="E44" s="17" t="inlineStr">
        <is>
          <t>SMD</t>
        </is>
      </c>
      <c r="F44" s="17" t="inlineStr">
        <is>
          <t>1206(3216)</t>
        </is>
      </c>
      <c r="G44" s="36" t="inlineStr">
        <is>
          <t>1</t>
        </is>
      </c>
      <c r="H44" s="17" t="inlineStr">
        <is>
          <t>According brand list</t>
        </is>
      </c>
      <c r="I44" s="35" t="inlineStr">
        <is>
          <t>1110754</t>
        </is>
      </c>
      <c r="J44" s="20" t="n"/>
      <c r="K44" s="15" t="inlineStr">
        <is>
          <t>Valid</t>
        </is>
      </c>
      <c r="L44" s="17" t="n"/>
      <c r="M44" s="17" t="n"/>
      <c r="N44" s="17" t="n"/>
      <c r="O44" s="17" t="n"/>
      <c r="P44" s="17" t="n"/>
      <c r="Q44" s="15" t="n"/>
    </row>
    <row r="45" customFormat="1" s="25">
      <c r="A45" s="17" t="inlineStr">
        <is>
          <t>35</t>
        </is>
      </c>
      <c r="B45" s="32" t="inlineStr">
        <is>
          <t>R158, R160, R466</t>
        </is>
      </c>
      <c r="C45" s="17" t="inlineStr">
        <is>
          <t>Resistor, 0R,5%,1/10W</t>
        </is>
      </c>
      <c r="D45" s="17" t="n"/>
      <c r="E45" s="17" t="inlineStr">
        <is>
          <t>SMD</t>
        </is>
      </c>
      <c r="F45" s="17" t="inlineStr">
        <is>
          <t>0603(1608)</t>
        </is>
      </c>
      <c r="G45" s="36" t="inlineStr">
        <is>
          <t>3</t>
        </is>
      </c>
      <c r="H45" s="17" t="inlineStr">
        <is>
          <t>According brand list</t>
        </is>
      </c>
      <c r="I45" s="35" t="inlineStr">
        <is>
          <t>1110274</t>
        </is>
      </c>
      <c r="J45" s="20" t="n"/>
      <c r="K45" s="15" t="inlineStr">
        <is>
          <t>Valid</t>
        </is>
      </c>
      <c r="L45" s="17" t="inlineStr">
        <is>
          <t>1110746</t>
        </is>
      </c>
      <c r="M45" s="17" t="inlineStr">
        <is>
          <t>Resistor, 0R,5%,1W</t>
        </is>
      </c>
      <c r="N45" s="17" t="inlineStr">
        <is>
          <t>-</t>
        </is>
      </c>
      <c r="O45" s="17" t="inlineStr">
        <is>
          <t>SMD</t>
        </is>
      </c>
      <c r="P45" s="17" t="inlineStr">
        <is>
          <t>0603(1608)</t>
        </is>
      </c>
      <c r="Q45" s="15" t="inlineStr">
        <is>
          <t>Valid</t>
        </is>
      </c>
    </row>
    <row r="46" customFormat="1" s="25">
      <c r="A46" s="17" t="inlineStr">
        <is>
          <t>36</t>
        </is>
      </c>
      <c r="B46" s="32" t="inlineStr">
        <is>
          <t>R159, R473</t>
        </is>
      </c>
      <c r="C46" s="17" t="inlineStr">
        <is>
          <t>Resistor, 680,5%,1/4W</t>
        </is>
      </c>
      <c r="D46" s="17" t="n"/>
      <c r="E46" s="17" t="inlineStr">
        <is>
          <t>SMD</t>
        </is>
      </c>
      <c r="F46" s="17" t="inlineStr">
        <is>
          <t>1206(3216)</t>
        </is>
      </c>
      <c r="G46" s="36" t="inlineStr">
        <is>
          <t>2</t>
        </is>
      </c>
      <c r="H46" s="17" t="inlineStr">
        <is>
          <t>According brand list</t>
        </is>
      </c>
      <c r="I46" s="35" t="inlineStr">
        <is>
          <t>1110229</t>
        </is>
      </c>
      <c r="J46" s="20" t="n"/>
      <c r="K46" s="15" t="inlineStr">
        <is>
          <t>Valid</t>
        </is>
      </c>
      <c r="L46" s="17" t="inlineStr">
        <is>
          <t>1110242</t>
        </is>
      </c>
      <c r="M46" s="17" t="inlineStr">
        <is>
          <t>Resistor, 680,1%,1/4W</t>
        </is>
      </c>
      <c r="N46" s="17" t="inlineStr">
        <is>
          <t>-</t>
        </is>
      </c>
      <c r="O46" s="17" t="inlineStr">
        <is>
          <t>SMD</t>
        </is>
      </c>
      <c r="P46" s="17" t="inlineStr">
        <is>
          <t>1206(3216)</t>
        </is>
      </c>
      <c r="Q46" s="15" t="inlineStr">
        <is>
          <t>Valid</t>
        </is>
      </c>
    </row>
    <row r="47" ht="30" customFormat="1" customHeight="1" s="25">
      <c r="A47" s="17" t="inlineStr">
        <is>
          <t>37</t>
        </is>
      </c>
      <c r="B47" s="32" t="inlineStr">
        <is>
          <t>R173, R188, R189, R190, R200, R201, R211, R212, R215, R216, R218, R219, R222, R223, R225, R226, R244, R296, R317, R318, R451, R455</t>
        </is>
      </c>
      <c r="C47" s="17" t="inlineStr">
        <is>
          <t>Resistor, 4.7K,5%,1/16W</t>
        </is>
      </c>
      <c r="D47" s="17" t="n"/>
      <c r="E47" s="17" t="inlineStr">
        <is>
          <t>SMD</t>
        </is>
      </c>
      <c r="F47" s="17" t="inlineStr">
        <is>
          <t>0402(1005)</t>
        </is>
      </c>
      <c r="G47" s="36" t="inlineStr">
        <is>
          <t>22</t>
        </is>
      </c>
      <c r="H47" s="17" t="inlineStr">
        <is>
          <t>According brand list</t>
        </is>
      </c>
      <c r="I47" s="35" t="inlineStr">
        <is>
          <t>1110581</t>
        </is>
      </c>
      <c r="J47" s="20" t="n"/>
      <c r="K47" s="15" t="inlineStr">
        <is>
          <t>Valid*</t>
        </is>
      </c>
      <c r="L47" s="17" t="n"/>
      <c r="M47" s="17" t="n"/>
      <c r="N47" s="17" t="n"/>
      <c r="O47" s="17" t="n"/>
      <c r="P47" s="17" t="n"/>
      <c r="Q47" s="15" t="n"/>
    </row>
    <row r="48" customFormat="1" s="25">
      <c r="A48" s="17" t="inlineStr">
        <is>
          <t>38</t>
        </is>
      </c>
      <c r="B48" s="32" t="inlineStr">
        <is>
          <t>R174, R282, R462, R465, R468, R471, R478</t>
        </is>
      </c>
      <c r="C48" s="17" t="inlineStr">
        <is>
          <t>Resistor, 1K,5%,1/16W</t>
        </is>
      </c>
      <c r="D48" s="17" t="n"/>
      <c r="E48" s="17" t="inlineStr">
        <is>
          <t>SMD</t>
        </is>
      </c>
      <c r="F48" s="17" t="inlineStr">
        <is>
          <t>0402(1005)</t>
        </is>
      </c>
      <c r="G48" s="33" t="inlineStr">
        <is>
          <t>7</t>
        </is>
      </c>
      <c r="H48" s="17" t="inlineStr">
        <is>
          <t>According brand list</t>
        </is>
      </c>
      <c r="I48" s="35" t="inlineStr">
        <is>
          <t>1110707</t>
        </is>
      </c>
      <c r="J48" s="20" t="n"/>
      <c r="K48" s="15" t="inlineStr">
        <is>
          <t>Valid</t>
        </is>
      </c>
      <c r="L48" s="17" t="n"/>
      <c r="M48" s="17" t="n"/>
      <c r="N48" s="17" t="n"/>
      <c r="O48" s="17" t="n"/>
      <c r="P48" s="17" t="n"/>
      <c r="Q48" s="15" t="n"/>
    </row>
    <row r="49" customFormat="1" s="25">
      <c r="A49" s="17" t="inlineStr">
        <is>
          <t>39</t>
        </is>
      </c>
      <c r="B49" s="32" t="inlineStr">
        <is>
          <t>R175, R176, R177, R178, R191, R192, R193, R194, R453</t>
        </is>
      </c>
      <c r="C49" s="17" t="inlineStr">
        <is>
          <t>Resistor, 470,5%,1/16W</t>
        </is>
      </c>
      <c r="D49" s="17" t="n"/>
      <c r="E49" s="17" t="inlineStr">
        <is>
          <t>SMD</t>
        </is>
      </c>
      <c r="F49" s="17" t="inlineStr">
        <is>
          <t>0402(1005)</t>
        </is>
      </c>
      <c r="G49" s="36" t="inlineStr">
        <is>
          <t>9</t>
        </is>
      </c>
      <c r="H49" s="17" t="inlineStr">
        <is>
          <t>According brand list</t>
        </is>
      </c>
      <c r="I49" s="35" t="inlineStr">
        <is>
          <t>1110582</t>
        </is>
      </c>
      <c r="J49" s="20" t="n"/>
      <c r="K49" s="15" t="inlineStr">
        <is>
          <t>Valid*</t>
        </is>
      </c>
      <c r="L49" s="17" t="n"/>
      <c r="M49" s="17" t="n"/>
      <c r="N49" s="17" t="n"/>
      <c r="O49" s="17" t="n"/>
      <c r="P49" s="17" t="n"/>
      <c r="Q49" s="15" t="n"/>
    </row>
    <row r="50" customFormat="1" s="25">
      <c r="A50" s="17" t="inlineStr">
        <is>
          <t>40</t>
        </is>
      </c>
      <c r="B50" s="32" t="inlineStr">
        <is>
          <t>R214, R221, R228</t>
        </is>
      </c>
      <c r="C50" s="17" t="inlineStr">
        <is>
          <t>Resistor, 47,5%,1/10W</t>
        </is>
      </c>
      <c r="D50" s="17" t="n"/>
      <c r="E50" s="17" t="inlineStr">
        <is>
          <t>SMD</t>
        </is>
      </c>
      <c r="F50" s="17" t="inlineStr">
        <is>
          <t>0603(1608)</t>
        </is>
      </c>
      <c r="G50" s="36" t="inlineStr">
        <is>
          <t>3</t>
        </is>
      </c>
      <c r="H50" s="17" t="inlineStr">
        <is>
          <t>According brand list</t>
        </is>
      </c>
      <c r="I50" s="35" t="inlineStr">
        <is>
          <t>1110760</t>
        </is>
      </c>
      <c r="J50" s="20" t="n"/>
      <c r="K50" s="15" t="inlineStr">
        <is>
          <t>Valid</t>
        </is>
      </c>
      <c r="L50" s="17" t="n"/>
      <c r="M50" s="17" t="n"/>
      <c r="N50" s="17" t="n"/>
      <c r="O50" s="17" t="n"/>
      <c r="P50" s="17" t="n"/>
      <c r="Q50" s="15" t="n"/>
    </row>
    <row r="51" customFormat="1" s="25">
      <c r="A51" s="17" t="inlineStr">
        <is>
          <t>41</t>
        </is>
      </c>
      <c r="B51" s="32" t="inlineStr">
        <is>
          <t>R238, R239, R251, R300, R470, R475</t>
        </is>
      </c>
      <c r="C51" s="17" t="inlineStr">
        <is>
          <t>Resistor, 4.7K,5%,1/10W</t>
        </is>
      </c>
      <c r="D51" s="17" t="n"/>
      <c r="E51" s="17" t="inlineStr">
        <is>
          <t>SMD</t>
        </is>
      </c>
      <c r="F51" s="17" t="inlineStr">
        <is>
          <t>0603(1608)</t>
        </is>
      </c>
      <c r="G51" s="36" t="inlineStr">
        <is>
          <t>6</t>
        </is>
      </c>
      <c r="H51" s="17" t="inlineStr">
        <is>
          <t>According brand list</t>
        </is>
      </c>
      <c r="I51" s="35" t="inlineStr">
        <is>
          <t>1110303</t>
        </is>
      </c>
      <c r="J51" s="20" t="n"/>
      <c r="K51" s="15" t="inlineStr">
        <is>
          <t>Valid</t>
        </is>
      </c>
      <c r="L51" s="17" t="inlineStr">
        <is>
          <t>1110761</t>
        </is>
      </c>
      <c r="M51" s="17" t="inlineStr">
        <is>
          <t>Resistor, 4.7K,1%,1/10W</t>
        </is>
      </c>
      <c r="N51" s="17" t="inlineStr">
        <is>
          <t>-</t>
        </is>
      </c>
      <c r="O51" s="17" t="inlineStr">
        <is>
          <t>SMD</t>
        </is>
      </c>
      <c r="P51" s="17" t="inlineStr">
        <is>
          <t>0603(1608)</t>
        </is>
      </c>
      <c r="Q51" s="15" t="inlineStr">
        <is>
          <t>Valid</t>
        </is>
      </c>
    </row>
    <row r="52" customFormat="1" s="25">
      <c r="A52" s="17" t="inlineStr">
        <is>
          <t>42</t>
        </is>
      </c>
      <c r="B52" s="32" t="inlineStr">
        <is>
          <t>R240, R241, R242, R243, R245, R252, R253, R303, R304</t>
        </is>
      </c>
      <c r="C52" s="17" t="inlineStr">
        <is>
          <t>Resistor, 2.7K,5%,1/16W</t>
        </is>
      </c>
      <c r="D52" s="17" t="n"/>
      <c r="E52" s="17" t="inlineStr">
        <is>
          <t>SMD</t>
        </is>
      </c>
      <c r="F52" s="17" t="inlineStr">
        <is>
          <t>0402(1005)</t>
        </is>
      </c>
      <c r="G52" s="36" t="inlineStr">
        <is>
          <t>9</t>
        </is>
      </c>
      <c r="H52" s="17" t="inlineStr">
        <is>
          <t>According brand list</t>
        </is>
      </c>
      <c r="I52" s="35" t="inlineStr">
        <is>
          <t>1101064</t>
        </is>
      </c>
      <c r="J52" s="20" t="n"/>
      <c r="K52" s="15" t="inlineStr">
        <is>
          <t>Valid*</t>
        </is>
      </c>
      <c r="L52" s="17" t="n"/>
      <c r="M52" s="17" t="n"/>
      <c r="N52" s="17" t="n"/>
      <c r="O52" s="17" t="n"/>
      <c r="P52" s="17" t="n"/>
      <c r="Q52" s="15" t="n"/>
    </row>
    <row r="53" customFormat="1" s="25">
      <c r="A53" s="17" t="inlineStr">
        <is>
          <t>43</t>
        </is>
      </c>
      <c r="B53" s="32" t="inlineStr">
        <is>
          <t>R259, R275</t>
        </is>
      </c>
      <c r="C53" s="17" t="inlineStr">
        <is>
          <t>Resistor, 1K,5%,1/10W</t>
        </is>
      </c>
      <c r="D53" s="17" t="n"/>
      <c r="E53" s="17" t="inlineStr">
        <is>
          <t>SMD</t>
        </is>
      </c>
      <c r="F53" s="17" t="inlineStr">
        <is>
          <t>0603(1608)</t>
        </is>
      </c>
      <c r="G53" s="33" t="inlineStr">
        <is>
          <t>2</t>
        </is>
      </c>
      <c r="H53" s="17" t="inlineStr">
        <is>
          <t>According brand list</t>
        </is>
      </c>
      <c r="I53" s="34" t="inlineStr">
        <is>
          <t>1110708</t>
        </is>
      </c>
      <c r="J53" s="20" t="n"/>
      <c r="K53" s="15" t="inlineStr">
        <is>
          <t>Valid</t>
        </is>
      </c>
      <c r="L53" s="17" t="inlineStr">
        <is>
          <t>1110706</t>
        </is>
      </c>
      <c r="M53" s="17" t="inlineStr">
        <is>
          <t>Resistor, 1K,1%,1/10W</t>
        </is>
      </c>
      <c r="N53" s="17" t="inlineStr">
        <is>
          <t>-</t>
        </is>
      </c>
      <c r="O53" s="17" t="inlineStr">
        <is>
          <t>SMD</t>
        </is>
      </c>
      <c r="P53" s="17" t="inlineStr">
        <is>
          <t>0603(1608)</t>
        </is>
      </c>
      <c r="Q53" s="15" t="inlineStr">
        <is>
          <t>Valid</t>
        </is>
      </c>
    </row>
    <row r="54" customFormat="1" s="25">
      <c r="A54" s="17" t="inlineStr">
        <is>
          <t>44</t>
        </is>
      </c>
      <c r="B54" s="32" t="inlineStr">
        <is>
          <t>R262, R265, R307</t>
        </is>
      </c>
      <c r="C54" s="17" t="inlineStr">
        <is>
          <t>Resistor, 560,5%,1/4W</t>
        </is>
      </c>
      <c r="D54" s="17" t="n"/>
      <c r="E54" s="17" t="inlineStr">
        <is>
          <t>SMD</t>
        </is>
      </c>
      <c r="F54" s="17" t="inlineStr">
        <is>
          <t>1206(3216)</t>
        </is>
      </c>
      <c r="G54" s="36" t="inlineStr">
        <is>
          <t>3</t>
        </is>
      </c>
      <c r="H54" s="17" t="inlineStr">
        <is>
          <t>According brand list</t>
        </is>
      </c>
      <c r="I54" s="35" t="inlineStr">
        <is>
          <t>1110226</t>
        </is>
      </c>
      <c r="J54" s="20" t="n"/>
      <c r="K54" s="15" t="inlineStr">
        <is>
          <t>Valid</t>
        </is>
      </c>
      <c r="L54" s="17" t="inlineStr">
        <is>
          <t>1110247</t>
        </is>
      </c>
      <c r="M54" s="17" t="inlineStr">
        <is>
          <t>Resistor, 560,1%,1/4W</t>
        </is>
      </c>
      <c r="N54" s="17" t="inlineStr">
        <is>
          <t>-</t>
        </is>
      </c>
      <c r="O54" s="17" t="inlineStr">
        <is>
          <t>SMD</t>
        </is>
      </c>
      <c r="P54" s="17" t="inlineStr">
        <is>
          <t>1206(3216)</t>
        </is>
      </c>
      <c r="Q54" s="15" t="inlineStr">
        <is>
          <t>Valid</t>
        </is>
      </c>
    </row>
    <row r="55" customFormat="1" s="25">
      <c r="A55" s="17" t="inlineStr">
        <is>
          <t>45</t>
        </is>
      </c>
      <c r="B55" s="32" t="inlineStr">
        <is>
          <t>R283, R284</t>
        </is>
      </c>
      <c r="C55" s="17" t="inlineStr">
        <is>
          <t>Resistor, 6.8,5%,1/16W</t>
        </is>
      </c>
      <c r="D55" s="17" t="n"/>
      <c r="E55" s="17" t="inlineStr">
        <is>
          <t>SMD</t>
        </is>
      </c>
      <c r="F55" s="17" t="inlineStr">
        <is>
          <t>0402(1005)</t>
        </is>
      </c>
      <c r="G55" s="36" t="inlineStr">
        <is>
          <t>2</t>
        </is>
      </c>
      <c r="H55" s="17" t="inlineStr">
        <is>
          <t>According brand list</t>
        </is>
      </c>
      <c r="I55" s="35" t="inlineStr">
        <is>
          <t>1101081</t>
        </is>
      </c>
      <c r="J55" s="20" t="n"/>
      <c r="K55" s="15" t="inlineStr">
        <is>
          <t>Valid*</t>
        </is>
      </c>
      <c r="L55" s="17" t="n"/>
      <c r="M55" s="17" t="n"/>
      <c r="N55" s="17" t="n"/>
      <c r="O55" s="17" t="n"/>
      <c r="P55" s="17" t="n"/>
      <c r="Q55" s="15" t="n"/>
    </row>
    <row r="56" customFormat="1" s="25">
      <c r="A56" s="17" t="inlineStr">
        <is>
          <t>46</t>
        </is>
      </c>
      <c r="B56" s="32" t="inlineStr">
        <is>
          <t>R285, R286, R287, R288, R289</t>
        </is>
      </c>
      <c r="C56" s="17" t="inlineStr">
        <is>
          <t>Resistor, 330,5%,1W</t>
        </is>
      </c>
      <c r="D56" s="17" t="n"/>
      <c r="E56" s="17" t="inlineStr">
        <is>
          <t>SMD</t>
        </is>
      </c>
      <c r="F56" s="17" t="inlineStr">
        <is>
          <t>2512(6332)</t>
        </is>
      </c>
      <c r="G56" s="36" t="inlineStr">
        <is>
          <t>5</t>
        </is>
      </c>
      <c r="H56" s="17" t="inlineStr">
        <is>
          <t>According brand list</t>
        </is>
      </c>
      <c r="I56" s="35" t="inlineStr">
        <is>
          <t>1110747</t>
        </is>
      </c>
      <c r="J56" s="20" t="n"/>
      <c r="K56" s="15" t="inlineStr">
        <is>
          <t>Valid</t>
        </is>
      </c>
      <c r="L56" s="17" t="inlineStr">
        <is>
          <t>1110748</t>
        </is>
      </c>
      <c r="M56" s="17" t="inlineStr">
        <is>
          <t>Resistor, 330,1%,1W</t>
        </is>
      </c>
      <c r="N56" s="17" t="inlineStr">
        <is>
          <t>-</t>
        </is>
      </c>
      <c r="O56" s="17" t="inlineStr">
        <is>
          <t>SMD</t>
        </is>
      </c>
      <c r="P56" s="17" t="inlineStr">
        <is>
          <t>2512(6332)</t>
        </is>
      </c>
      <c r="Q56" s="15" t="inlineStr">
        <is>
          <t>Valid</t>
        </is>
      </c>
    </row>
    <row r="57" customFormat="1" s="25">
      <c r="A57" s="17" t="inlineStr">
        <is>
          <t>47</t>
        </is>
      </c>
      <c r="B57" s="32" t="inlineStr">
        <is>
          <t>R290, R393, R395</t>
        </is>
      </c>
      <c r="C57" s="17" t="inlineStr">
        <is>
          <t>Resistor, 22K,1%,1/16W</t>
        </is>
      </c>
      <c r="D57" s="17" t="n"/>
      <c r="E57" s="17" t="inlineStr">
        <is>
          <t>SMD</t>
        </is>
      </c>
      <c r="F57" s="17" t="inlineStr">
        <is>
          <t>0402(1005)</t>
        </is>
      </c>
      <c r="G57" s="36" t="inlineStr">
        <is>
          <t>3</t>
        </is>
      </c>
      <c r="H57" s="17" t="inlineStr">
        <is>
          <t>According brand list</t>
        </is>
      </c>
      <c r="I57" s="35" t="inlineStr">
        <is>
          <t>1110575</t>
        </is>
      </c>
      <c r="J57" s="20" t="n"/>
      <c r="K57" s="15" t="inlineStr">
        <is>
          <t>Valid*</t>
        </is>
      </c>
      <c r="L57" s="17" t="n"/>
      <c r="M57" s="17" t="n"/>
      <c r="N57" s="17" t="n"/>
      <c r="O57" s="17" t="n"/>
      <c r="P57" s="17" t="n"/>
      <c r="Q57" s="15" t="n"/>
    </row>
    <row r="58" customFormat="1" s="25">
      <c r="A58" s="17" t="inlineStr">
        <is>
          <t>48</t>
        </is>
      </c>
      <c r="B58" s="32" t="inlineStr">
        <is>
          <t>R291</t>
        </is>
      </c>
      <c r="C58" s="17" t="inlineStr">
        <is>
          <t>Resistor, 4.7K,1%,1/16W</t>
        </is>
      </c>
      <c r="D58" s="17" t="n"/>
      <c r="E58" s="17" t="inlineStr">
        <is>
          <t>SMD</t>
        </is>
      </c>
      <c r="F58" s="17" t="inlineStr">
        <is>
          <t>0402(1005)</t>
        </is>
      </c>
      <c r="G58" s="36" t="inlineStr">
        <is>
          <t>1</t>
        </is>
      </c>
      <c r="H58" s="17" t="inlineStr">
        <is>
          <t>According brand list</t>
        </is>
      </c>
      <c r="I58" s="35" t="inlineStr">
        <is>
          <t>1110580</t>
        </is>
      </c>
      <c r="J58" s="20" t="n"/>
      <c r="K58" s="15" t="inlineStr">
        <is>
          <t>Valid*</t>
        </is>
      </c>
      <c r="L58" s="17" t="n"/>
      <c r="M58" s="17" t="n"/>
      <c r="N58" s="17" t="n"/>
      <c r="O58" s="17" t="n"/>
      <c r="P58" s="17" t="n"/>
      <c r="Q58" s="15" t="n"/>
    </row>
    <row r="59" customFormat="1" s="25">
      <c r="A59" s="17" t="inlineStr">
        <is>
          <t>49</t>
        </is>
      </c>
      <c r="B59" s="32" t="inlineStr">
        <is>
          <t>R301, R454</t>
        </is>
      </c>
      <c r="C59" s="17" t="inlineStr">
        <is>
          <t>Resistor, 100K,5%,1/16W</t>
        </is>
      </c>
      <c r="D59" s="17" t="n"/>
      <c r="E59" s="17" t="inlineStr">
        <is>
          <t>SMD</t>
        </is>
      </c>
      <c r="F59" s="17" t="inlineStr">
        <is>
          <t>0402(1005)</t>
        </is>
      </c>
      <c r="G59" s="36" t="inlineStr">
        <is>
          <t>2</t>
        </is>
      </c>
      <c r="H59" s="17" t="inlineStr">
        <is>
          <t>According brand list</t>
        </is>
      </c>
      <c r="I59" s="35" t="inlineStr">
        <is>
          <t>1110700</t>
        </is>
      </c>
      <c r="J59" s="20" t="n"/>
      <c r="K59" s="15" t="inlineStr">
        <is>
          <t>Valid</t>
        </is>
      </c>
      <c r="L59" s="17" t="n"/>
      <c r="M59" s="17" t="n"/>
      <c r="N59" s="17" t="n"/>
      <c r="O59" s="17" t="n"/>
      <c r="P59" s="17" t="n"/>
      <c r="Q59" s="15" t="n"/>
    </row>
    <row r="60" customFormat="1" s="25">
      <c r="A60" s="17" t="inlineStr">
        <is>
          <t>50</t>
        </is>
      </c>
      <c r="B60" s="32" t="inlineStr">
        <is>
          <t>R305, R306</t>
        </is>
      </c>
      <c r="C60" s="17" t="inlineStr">
        <is>
          <t>Resistor, 100,5%,1/4 W</t>
        </is>
      </c>
      <c r="D60" s="17" t="n"/>
      <c r="E60" s="17" t="inlineStr">
        <is>
          <t>SMD</t>
        </is>
      </c>
      <c r="F60" s="17" t="inlineStr">
        <is>
          <t>1206(3216)</t>
        </is>
      </c>
      <c r="G60" s="36" t="inlineStr">
        <is>
          <t>2</t>
        </is>
      </c>
      <c r="H60" s="17" t="inlineStr">
        <is>
          <t>According brand list</t>
        </is>
      </c>
      <c r="I60" s="35" t="inlineStr">
        <is>
          <t>1110375</t>
        </is>
      </c>
      <c r="J60" s="20" t="n"/>
      <c r="K60" s="15" t="inlineStr">
        <is>
          <t>Valid</t>
        </is>
      </c>
      <c r="L60" s="17" t="inlineStr">
        <is>
          <t>1110248</t>
        </is>
      </c>
      <c r="M60" s="17" t="inlineStr">
        <is>
          <t>Resistor, 100,1%,1/4W</t>
        </is>
      </c>
      <c r="N60" s="17" t="inlineStr">
        <is>
          <t>-</t>
        </is>
      </c>
      <c r="O60" s="17" t="inlineStr">
        <is>
          <t>SMD</t>
        </is>
      </c>
      <c r="P60" s="17" t="inlineStr">
        <is>
          <t>1206(3216)</t>
        </is>
      </c>
      <c r="Q60" s="15" t="inlineStr">
        <is>
          <t>Valid</t>
        </is>
      </c>
    </row>
    <row r="61" customFormat="1" s="25">
      <c r="A61" s="17" t="inlineStr">
        <is>
          <t>51</t>
        </is>
      </c>
      <c r="B61" s="32" t="inlineStr">
        <is>
          <t>R320</t>
        </is>
      </c>
      <c r="C61" s="17" t="inlineStr">
        <is>
          <t>Resistor, 1.2K,1%,1/16W</t>
        </is>
      </c>
      <c r="D61" s="17" t="n"/>
      <c r="E61" s="17" t="inlineStr">
        <is>
          <t>SMD</t>
        </is>
      </c>
      <c r="F61" s="17" t="inlineStr">
        <is>
          <t>0402(1005)</t>
        </is>
      </c>
      <c r="G61" s="36" t="inlineStr">
        <is>
          <t>1</t>
        </is>
      </c>
      <c r="H61" s="17" t="inlineStr">
        <is>
          <t>According brand list</t>
        </is>
      </c>
      <c r="I61" s="35" t="inlineStr">
        <is>
          <t>1110572</t>
        </is>
      </c>
      <c r="J61" s="17" t="n"/>
      <c r="K61" s="15" t="inlineStr">
        <is>
          <t>Valid*</t>
        </is>
      </c>
      <c r="L61" s="17" t="n"/>
      <c r="M61" s="17" t="n"/>
      <c r="N61" s="17" t="n"/>
      <c r="O61" s="17" t="n"/>
      <c r="P61" s="17" t="n"/>
      <c r="Q61" s="15" t="n"/>
    </row>
    <row r="62">
      <c r="A62" s="17" t="inlineStr">
        <is>
          <t>52</t>
        </is>
      </c>
      <c r="B62" s="32" t="inlineStr">
        <is>
          <t>R392</t>
        </is>
      </c>
      <c r="C62" s="17" t="inlineStr">
        <is>
          <t>Resistor, 47K,1%,1/16W</t>
        </is>
      </c>
      <c r="D62" s="17" t="n"/>
      <c r="E62" s="17" t="inlineStr">
        <is>
          <t>SMD</t>
        </is>
      </c>
      <c r="F62" s="17" t="inlineStr">
        <is>
          <t>0402(1005)</t>
        </is>
      </c>
      <c r="G62" s="36" t="inlineStr">
        <is>
          <t>1</t>
        </is>
      </c>
      <c r="H62" s="17" t="inlineStr">
        <is>
          <t>According brand list</t>
        </is>
      </c>
      <c r="I62" s="35" t="inlineStr">
        <is>
          <t>1110583</t>
        </is>
      </c>
      <c r="J62" s="17" t="n"/>
      <c r="K62" s="15" t="inlineStr">
        <is>
          <t>Valid*</t>
        </is>
      </c>
      <c r="L62" s="17" t="n"/>
      <c r="M62" s="17" t="n"/>
      <c r="N62" s="17" t="n"/>
      <c r="O62" s="17" t="n"/>
      <c r="P62" s="17" t="n"/>
      <c r="Q62" s="15" t="n"/>
    </row>
    <row r="63">
      <c r="A63" s="17" t="inlineStr">
        <is>
          <t>53</t>
        </is>
      </c>
      <c r="B63" s="32" t="inlineStr">
        <is>
          <t>R394, R424</t>
        </is>
      </c>
      <c r="C63" s="17" t="inlineStr">
        <is>
          <t>Resistor, 10K,1%,1/16W</t>
        </is>
      </c>
      <c r="D63" s="17" t="n"/>
      <c r="E63" s="17" t="inlineStr">
        <is>
          <t>SMD</t>
        </is>
      </c>
      <c r="F63" s="17" t="inlineStr">
        <is>
          <t>0402(1005)</t>
        </is>
      </c>
      <c r="G63" s="36" t="inlineStr">
        <is>
          <t>2</t>
        </is>
      </c>
      <c r="H63" s="17" t="inlineStr">
        <is>
          <t>According brand list</t>
        </is>
      </c>
      <c r="I63" s="35" t="inlineStr">
        <is>
          <t>1110573</t>
        </is>
      </c>
      <c r="J63" s="17" t="n"/>
      <c r="K63" s="15" t="inlineStr">
        <is>
          <t>Valid*</t>
        </is>
      </c>
      <c r="L63" s="17" t="n"/>
      <c r="M63" s="17" t="n"/>
      <c r="N63" s="17" t="n"/>
      <c r="O63" s="17" t="n"/>
      <c r="P63" s="17" t="n"/>
      <c r="Q63" s="15" t="n"/>
    </row>
    <row r="64">
      <c r="A64" s="17" t="inlineStr">
        <is>
          <t>54</t>
        </is>
      </c>
      <c r="B64" s="32" t="inlineStr">
        <is>
          <t>R396, R399, R402, R442</t>
        </is>
      </c>
      <c r="C64" s="17" t="inlineStr">
        <is>
          <t>Resistor, 2.7K,1%,1/16W</t>
        </is>
      </c>
      <c r="D64" s="17" t="n"/>
      <c r="E64" s="17" t="inlineStr">
        <is>
          <t>SMD</t>
        </is>
      </c>
      <c r="F64" s="17" t="inlineStr">
        <is>
          <t>0402(1005)</t>
        </is>
      </c>
      <c r="G64" s="36" t="inlineStr">
        <is>
          <t>4</t>
        </is>
      </c>
      <c r="H64" s="17" t="inlineStr">
        <is>
          <t>According brand list</t>
        </is>
      </c>
      <c r="I64" s="35" t="inlineStr">
        <is>
          <t>1101075</t>
        </is>
      </c>
      <c r="J64" s="17" t="n"/>
      <c r="K64" s="15" t="inlineStr">
        <is>
          <t>Valid*</t>
        </is>
      </c>
      <c r="L64" s="17" t="n"/>
      <c r="M64" s="17" t="n"/>
      <c r="N64" s="17" t="n"/>
      <c r="O64" s="17" t="n"/>
      <c r="P64" s="17" t="n"/>
      <c r="Q64" s="15" t="n"/>
    </row>
    <row r="65">
      <c r="A65" s="17" t="inlineStr">
        <is>
          <t>55</t>
        </is>
      </c>
      <c r="B65" s="32" t="inlineStr">
        <is>
          <t>R421</t>
        </is>
      </c>
      <c r="C65" s="17" t="inlineStr">
        <is>
          <t>Resistor, 0R,5%,1/4W</t>
        </is>
      </c>
      <c r="D65" s="17" t="n"/>
      <c r="E65" s="17" t="inlineStr">
        <is>
          <t>SMD</t>
        </is>
      </c>
      <c r="F65" s="17" t="inlineStr">
        <is>
          <t>1206(3216)</t>
        </is>
      </c>
      <c r="G65" s="36" t="inlineStr">
        <is>
          <t>1</t>
        </is>
      </c>
      <c r="H65" s="17" t="inlineStr">
        <is>
          <t>According brand list</t>
        </is>
      </c>
      <c r="I65" s="35" t="inlineStr">
        <is>
          <t>1110277</t>
        </is>
      </c>
      <c r="J65" s="17" t="n"/>
      <c r="K65" s="15" t="inlineStr">
        <is>
          <t>Valid</t>
        </is>
      </c>
      <c r="L65" s="17" t="n"/>
      <c r="M65" s="17" t="n"/>
      <c r="N65" s="17" t="n"/>
      <c r="O65" s="17" t="n"/>
      <c r="P65" s="17" t="n"/>
      <c r="Q65" s="15" t="n"/>
    </row>
    <row r="66">
      <c r="A66" s="17" t="inlineStr">
        <is>
          <t>56</t>
        </is>
      </c>
      <c r="B66" s="32" t="inlineStr">
        <is>
          <t>R423</t>
        </is>
      </c>
      <c r="C66" s="17" t="inlineStr">
        <is>
          <t>Resistor, 27K,1%,1/16W</t>
        </is>
      </c>
      <c r="D66" s="17" t="n"/>
      <c r="E66" s="17" t="inlineStr">
        <is>
          <t>SMD</t>
        </is>
      </c>
      <c r="F66" s="17" t="inlineStr">
        <is>
          <t>0402(1005)</t>
        </is>
      </c>
      <c r="G66" s="36" t="inlineStr">
        <is>
          <t>1</t>
        </is>
      </c>
      <c r="H66" s="17" t="inlineStr">
        <is>
          <t>According brand list</t>
        </is>
      </c>
      <c r="I66" s="35" t="inlineStr">
        <is>
          <t>1110577</t>
        </is>
      </c>
      <c r="J66" s="17" t="n"/>
      <c r="K66" s="15" t="inlineStr">
        <is>
          <t>Valid*</t>
        </is>
      </c>
      <c r="L66" s="17" t="n"/>
      <c r="M66" s="17" t="n"/>
      <c r="N66" s="17" t="n"/>
      <c r="O66" s="17" t="n"/>
      <c r="P66" s="17" t="n"/>
      <c r="Q66" s="15" t="n"/>
    </row>
    <row r="67">
      <c r="A67" s="17" t="inlineStr">
        <is>
          <t>57</t>
        </is>
      </c>
      <c r="B67" s="32" t="inlineStr">
        <is>
          <t>R458</t>
        </is>
      </c>
      <c r="C67" s="17" t="inlineStr">
        <is>
          <t>Resistor, 33K,5%,1/16W</t>
        </is>
      </c>
      <c r="D67" s="17" t="n"/>
      <c r="E67" s="17" t="inlineStr">
        <is>
          <t>SMD</t>
        </is>
      </c>
      <c r="F67" s="17" t="inlineStr">
        <is>
          <t>0402(1005)</t>
        </is>
      </c>
      <c r="G67" s="36" t="inlineStr">
        <is>
          <t>1</t>
        </is>
      </c>
      <c r="H67" s="17" t="inlineStr">
        <is>
          <t>According brand list</t>
        </is>
      </c>
      <c r="I67" s="35" t="inlineStr">
        <is>
          <t>1110727</t>
        </is>
      </c>
      <c r="J67" s="17" t="n"/>
      <c r="K67" s="15" t="inlineStr">
        <is>
          <t>Valid</t>
        </is>
      </c>
      <c r="L67" s="17" t="n"/>
      <c r="M67" s="17" t="n"/>
      <c r="N67" s="17" t="n"/>
      <c r="O67" s="17" t="n"/>
      <c r="P67" s="17" t="n"/>
      <c r="Q67" s="15" t="n"/>
    </row>
    <row r="68">
      <c r="A68" s="17" t="inlineStr">
        <is>
          <t>58</t>
        </is>
      </c>
      <c r="B68" s="32" t="inlineStr">
        <is>
          <t>R459</t>
        </is>
      </c>
      <c r="C68" s="17" t="inlineStr">
        <is>
          <t>Resistor, 6.2K,5%,1/16W</t>
        </is>
      </c>
      <c r="D68" s="17" t="n"/>
      <c r="E68" s="17" t="inlineStr">
        <is>
          <t>SMD</t>
        </is>
      </c>
      <c r="F68" s="17" t="inlineStr">
        <is>
          <t>0402(1005)</t>
        </is>
      </c>
      <c r="G68" s="36" t="inlineStr">
        <is>
          <t>1</t>
        </is>
      </c>
      <c r="H68" s="17" t="inlineStr">
        <is>
          <t>According brand list</t>
        </is>
      </c>
      <c r="I68" s="35" t="inlineStr">
        <is>
          <t>1101080</t>
        </is>
      </c>
      <c r="J68" s="17" t="n"/>
      <c r="K68" s="15" t="inlineStr">
        <is>
          <t>Valid*</t>
        </is>
      </c>
      <c r="L68" s="17" t="n"/>
      <c r="M68" s="17" t="n"/>
      <c r="N68" s="17" t="n"/>
      <c r="O68" s="17" t="n"/>
      <c r="P68" s="17" t="n"/>
      <c r="Q68" s="15" t="n"/>
    </row>
    <row r="69">
      <c r="A69" s="17" t="inlineStr">
        <is>
          <t>59</t>
        </is>
      </c>
      <c r="B69" s="32" t="inlineStr">
        <is>
          <t>R460, R464</t>
        </is>
      </c>
      <c r="C69" s="17" t="inlineStr">
        <is>
          <t>Resistor, 390K,1%,1/16W</t>
        </is>
      </c>
      <c r="D69" s="17" t="n"/>
      <c r="E69" s="17" t="inlineStr">
        <is>
          <t>SMD</t>
        </is>
      </c>
      <c r="F69" s="17" t="inlineStr">
        <is>
          <t>0402(1005)</t>
        </is>
      </c>
      <c r="G69" s="36" t="inlineStr">
        <is>
          <t>2</t>
        </is>
      </c>
      <c r="H69" s="17" t="inlineStr">
        <is>
          <t>According brand list</t>
        </is>
      </c>
      <c r="I69" s="35" t="inlineStr">
        <is>
          <t>1101077</t>
        </is>
      </c>
      <c r="J69" s="17" t="n"/>
      <c r="K69" s="15" t="inlineStr">
        <is>
          <t>Valid*</t>
        </is>
      </c>
      <c r="L69" s="17" t="n"/>
      <c r="M69" s="17" t="n"/>
      <c r="N69" s="17" t="n"/>
      <c r="O69" s="17" t="n"/>
      <c r="P69" s="17" t="n"/>
      <c r="Q69" s="15" t="n"/>
    </row>
    <row r="70">
      <c r="A70" s="17" t="inlineStr">
        <is>
          <t>60</t>
        </is>
      </c>
      <c r="B70" s="32" t="inlineStr">
        <is>
          <t>R463</t>
        </is>
      </c>
      <c r="C70" s="17" t="inlineStr">
        <is>
          <t>Resistor, 100K,1%,1/16W</t>
        </is>
      </c>
      <c r="D70" s="17" t="n"/>
      <c r="E70" s="17" t="inlineStr">
        <is>
          <t>SMD</t>
        </is>
      </c>
      <c r="F70" s="17" t="inlineStr">
        <is>
          <t>0402(1005)</t>
        </is>
      </c>
      <c r="G70" s="36" t="inlineStr">
        <is>
          <t>1</t>
        </is>
      </c>
      <c r="H70" s="17" t="inlineStr">
        <is>
          <t>According brand list</t>
        </is>
      </c>
      <c r="I70" s="35" t="inlineStr">
        <is>
          <t>1110585</t>
        </is>
      </c>
      <c r="J70" s="17" t="n"/>
      <c r="K70" s="15" t="inlineStr">
        <is>
          <t>Valid*</t>
        </is>
      </c>
      <c r="L70" s="17" t="n"/>
      <c r="M70" s="17" t="n"/>
      <c r="N70" s="17" t="n"/>
      <c r="O70" s="17" t="n"/>
      <c r="P70" s="17" t="n"/>
      <c r="Q70" s="15" t="n"/>
    </row>
    <row r="71">
      <c r="A71" s="17" t="inlineStr">
        <is>
          <t>61</t>
        </is>
      </c>
      <c r="B71" s="32" t="inlineStr">
        <is>
          <t>U100</t>
        </is>
      </c>
      <c r="C71" s="17" t="inlineStr">
        <is>
          <t>IC, Interface,24CH</t>
        </is>
      </c>
      <c r="D71" s="17" t="inlineStr">
        <is>
          <t>TIC10024QDCPRQ1</t>
        </is>
      </c>
      <c r="E71" s="17" t="inlineStr">
        <is>
          <t>SMD</t>
        </is>
      </c>
      <c r="F71" s="17" t="inlineStr">
        <is>
          <t>HTSSOP-38</t>
        </is>
      </c>
      <c r="G71" s="36" t="inlineStr">
        <is>
          <t>1</t>
        </is>
      </c>
      <c r="H71" s="17" t="inlineStr">
        <is>
          <t>TI</t>
        </is>
      </c>
      <c r="I71" s="35" t="inlineStr">
        <is>
          <t>1111066</t>
        </is>
      </c>
      <c r="J71" s="17" t="n"/>
      <c r="K71" s="15" t="inlineStr">
        <is>
          <t>Valid*</t>
        </is>
      </c>
      <c r="L71" s="17" t="n"/>
      <c r="M71" s="17" t="n"/>
      <c r="N71" s="17" t="n"/>
      <c r="O71" s="17" t="n"/>
      <c r="P71" s="17" t="n"/>
      <c r="Q71" s="15" t="n"/>
    </row>
    <row r="72">
      <c r="A72" s="17" t="inlineStr">
        <is>
          <t>62</t>
        </is>
      </c>
      <c r="B72" s="32" t="inlineStr">
        <is>
          <t>U101</t>
        </is>
      </c>
      <c r="C72" s="17" t="inlineStr">
        <is>
          <t>IC SBC PMIC + Interface</t>
        </is>
      </c>
      <c r="D72" s="17" t="inlineStr">
        <is>
          <t>TLE9263BQXV33</t>
        </is>
      </c>
      <c r="E72" s="17" t="n"/>
      <c r="F72" s="17" t="n"/>
      <c r="G72" s="36" t="inlineStr">
        <is>
          <t>1</t>
        </is>
      </c>
      <c r="H72" s="17" t="n"/>
      <c r="I72" s="35" t="inlineStr">
        <is>
          <t>1111095</t>
        </is>
      </c>
      <c r="J72" s="17" t="n"/>
      <c r="K72" s="15" t="inlineStr">
        <is>
          <t>Valid*</t>
        </is>
      </c>
      <c r="L72" s="17" t="n"/>
      <c r="M72" s="17" t="n"/>
      <c r="N72" s="17" t="n"/>
      <c r="O72" s="17" t="n"/>
      <c r="P72" s="17" t="n"/>
      <c r="Q72" s="15" t="n"/>
    </row>
    <row r="73" ht="25.5" customHeight="1">
      <c r="A73" s="17" t="inlineStr">
        <is>
          <t>63</t>
        </is>
      </c>
      <c r="B73" s="32" t="inlineStr">
        <is>
          <t>U102, U103</t>
        </is>
      </c>
      <c r="C73" s="17" t="inlineStr">
        <is>
          <t>IC, Power,Low Side,Smart,8CH,0.33A,28V</t>
        </is>
      </c>
      <c r="D73" s="17" t="inlineStr">
        <is>
          <t>TLE75008-ESD</t>
        </is>
      </c>
      <c r="E73" s="17" t="inlineStr">
        <is>
          <t>SMD</t>
        </is>
      </c>
      <c r="F73" s="17" t="inlineStr">
        <is>
          <t>PG-TSDSO-24</t>
        </is>
      </c>
      <c r="G73" s="36" t="inlineStr">
        <is>
          <t>2</t>
        </is>
      </c>
      <c r="H73" s="17" t="inlineStr">
        <is>
          <t>Infineon</t>
        </is>
      </c>
      <c r="I73" s="35" t="inlineStr">
        <is>
          <t>1111041</t>
        </is>
      </c>
      <c r="J73" s="17" t="n"/>
      <c r="K73" s="15" t="inlineStr">
        <is>
          <t>Valid</t>
        </is>
      </c>
      <c r="L73" s="37" t="inlineStr">
        <is>
          <t>Manual
1111042</t>
        </is>
      </c>
      <c r="M73" s="22" t="inlineStr">
        <is>
          <t>IC, Power,Low&amp;High Side,Smart,8CH,0.33A,28V</t>
        </is>
      </c>
      <c r="N73" s="22" t="inlineStr">
        <is>
          <t>TLE75602-ESD</t>
        </is>
      </c>
      <c r="O73" s="22" t="inlineStr">
        <is>
          <t>SMD</t>
        </is>
      </c>
      <c r="P73" s="22" t="inlineStr">
        <is>
          <t>PG-TSDSO-24</t>
        </is>
      </c>
      <c r="Q73" s="21" t="inlineStr">
        <is>
          <t>Valid</t>
        </is>
      </c>
    </row>
    <row r="74">
      <c r="A74" s="17" t="inlineStr">
        <is>
          <t>64</t>
        </is>
      </c>
      <c r="B74" s="32" t="inlineStr">
        <is>
          <t>U105, U106, U107</t>
        </is>
      </c>
      <c r="C74" s="17" t="inlineStr">
        <is>
          <t>IC, Power,High Side,Smart,4.5A,28V</t>
        </is>
      </c>
      <c r="D74" s="17" t="inlineStr">
        <is>
          <t>BTS7030-2EPA</t>
        </is>
      </c>
      <c r="E74" s="17" t="inlineStr">
        <is>
          <t>SMD</t>
        </is>
      </c>
      <c r="F74" s="17" t="inlineStr">
        <is>
          <t>TSDSO-14</t>
        </is>
      </c>
      <c r="G74" s="36" t="inlineStr">
        <is>
          <t>3</t>
        </is>
      </c>
      <c r="H74" s="17" t="inlineStr">
        <is>
          <t>Infineon</t>
        </is>
      </c>
      <c r="I74" s="35" t="inlineStr">
        <is>
          <t>1110506</t>
        </is>
      </c>
      <c r="J74" s="17" t="n"/>
      <c r="K74" s="15" t="inlineStr">
        <is>
          <t>Valid</t>
        </is>
      </c>
      <c r="L74" s="17" t="n"/>
      <c r="M74" s="17" t="n"/>
      <c r="N74" s="17" t="n"/>
      <c r="O74" s="17" t="n"/>
      <c r="P74" s="17" t="n"/>
      <c r="Q74" s="15" t="n"/>
    </row>
    <row r="75">
      <c r="A75" s="17" t="inlineStr">
        <is>
          <t>65</t>
        </is>
      </c>
      <c r="B75" s="32" t="inlineStr">
        <is>
          <t>U110</t>
        </is>
      </c>
      <c r="C75" s="17" t="inlineStr">
        <is>
          <t>IC, CAN Tranceiver</t>
        </is>
      </c>
      <c r="D75" s="17" t="inlineStr">
        <is>
          <t>TJA1055T/3</t>
        </is>
      </c>
      <c r="E75" s="17" t="inlineStr">
        <is>
          <t>SMD</t>
        </is>
      </c>
      <c r="F75" s="17" t="inlineStr">
        <is>
          <t>SO-14</t>
        </is>
      </c>
      <c r="G75" s="36" t="inlineStr">
        <is>
          <t>1</t>
        </is>
      </c>
      <c r="H75" s="17" t="inlineStr">
        <is>
          <t>NXP</t>
        </is>
      </c>
      <c r="I75" s="35" t="inlineStr">
        <is>
          <t>1111097</t>
        </is>
      </c>
      <c r="J75" s="17" t="n"/>
      <c r="K75" s="15" t="inlineStr">
        <is>
          <t>Valid*</t>
        </is>
      </c>
      <c r="L75" s="17" t="n"/>
      <c r="M75" s="17" t="n"/>
      <c r="N75" s="17" t="n"/>
      <c r="O75" s="17" t="n"/>
      <c r="P75" s="17" t="n"/>
      <c r="Q75" s="15" t="n"/>
    </row>
    <row r="76">
      <c r="A76" s="17" t="inlineStr">
        <is>
          <t>66</t>
        </is>
      </c>
      <c r="B76" s="32" t="inlineStr">
        <is>
          <t>U113</t>
        </is>
      </c>
      <c r="C76" s="17" t="inlineStr">
        <is>
          <t>IC, ULN,7 Darlington array,0.5A</t>
        </is>
      </c>
      <c r="D76" s="17" t="inlineStr">
        <is>
          <t>ULQ2003ATPWRQ1</t>
        </is>
      </c>
      <c r="E76" s="17" t="inlineStr">
        <is>
          <t>SMD</t>
        </is>
      </c>
      <c r="F76" s="17" t="inlineStr">
        <is>
          <t>TSSOP-16</t>
        </is>
      </c>
      <c r="G76" s="36" t="inlineStr">
        <is>
          <t>1</t>
        </is>
      </c>
      <c r="H76" s="17" t="inlineStr">
        <is>
          <t>TI</t>
        </is>
      </c>
      <c r="I76" s="35" t="inlineStr">
        <is>
          <t>1111063</t>
        </is>
      </c>
      <c r="J76" s="17" t="n"/>
      <c r="K76" s="15" t="inlineStr">
        <is>
          <t>Valid*</t>
        </is>
      </c>
      <c r="L76" s="17" t="n"/>
      <c r="M76" s="17" t="n"/>
      <c r="N76" s="17" t="n"/>
      <c r="O76" s="17" t="n"/>
      <c r="P76" s="17" t="n"/>
      <c r="Q76" s="15" t="n"/>
    </row>
    <row r="77" ht="25.5" customHeight="1">
      <c r="A77" s="17" t="inlineStr">
        <is>
          <t>67</t>
        </is>
      </c>
      <c r="B77" s="32" t="inlineStr">
        <is>
          <t>U115</t>
        </is>
      </c>
      <c r="C77" s="17" t="inlineStr">
        <is>
          <t>IC, Power,Low Side,Smart,1CH,3A,42V</t>
        </is>
      </c>
      <c r="D77" s="17" t="inlineStr">
        <is>
          <t>BSP78</t>
        </is>
      </c>
      <c r="E77" s="17" t="inlineStr">
        <is>
          <t>SMD</t>
        </is>
      </c>
      <c r="F77" s="17" t="inlineStr">
        <is>
          <t>SOT-223</t>
        </is>
      </c>
      <c r="G77" s="36" t="inlineStr">
        <is>
          <t>1</t>
        </is>
      </c>
      <c r="H77" s="17" t="inlineStr">
        <is>
          <t>Infineon</t>
        </is>
      </c>
      <c r="I77" s="35" t="inlineStr">
        <is>
          <t>1110484</t>
        </is>
      </c>
      <c r="J77" s="22" t="n"/>
      <c r="K77" s="21" t="inlineStr">
        <is>
          <t>Valid</t>
        </is>
      </c>
      <c r="L77" s="37" t="inlineStr">
        <is>
          <t>Manual
1110464</t>
        </is>
      </c>
      <c r="M77" s="22" t="inlineStr">
        <is>
          <t>IC, Power,Low Side,Smart,1CH,6A,40V</t>
        </is>
      </c>
      <c r="N77" s="22" t="inlineStr">
        <is>
          <t>VNN7NV0413TR</t>
        </is>
      </c>
      <c r="O77" s="22" t="inlineStr">
        <is>
          <t>SMD</t>
        </is>
      </c>
      <c r="P77" s="22" t="inlineStr">
        <is>
          <t>SOT-223</t>
        </is>
      </c>
      <c r="Q77" s="21" t="inlineStr">
        <is>
          <t>Valid</t>
        </is>
      </c>
    </row>
    <row r="78" ht="102" customHeight="1">
      <c r="A78" s="17" t="inlineStr">
        <is>
          <t>68</t>
        </is>
      </c>
      <c r="B78" s="32" t="inlineStr">
        <is>
          <t>U116</t>
        </is>
      </c>
      <c r="C78" s="17" t="inlineStr">
        <is>
          <t>IC, MCU,32-Bit Microcontroller,RH850/F1K</t>
        </is>
      </c>
      <c r="D78" s="17" t="inlineStr">
        <is>
          <t>R7F7015834AFP
R7F7015834AFP-C
R7F7015834AFE
R7F7015834AFD</t>
        </is>
      </c>
      <c r="E78" s="17" t="inlineStr">
        <is>
          <t>SMD</t>
        </is>
      </c>
      <c r="F78" s="17" t="inlineStr">
        <is>
          <t>LFQFP-144</t>
        </is>
      </c>
      <c r="G78" s="36" t="inlineStr">
        <is>
          <t>1</t>
        </is>
      </c>
      <c r="H78" s="17" t="inlineStr">
        <is>
          <t>Renesas</t>
        </is>
      </c>
      <c r="I78" s="35" t="inlineStr">
        <is>
          <t>1110519</t>
        </is>
      </c>
      <c r="J78" s="22" t="n"/>
      <c r="K78" s="21" t="inlineStr">
        <is>
          <t>Valid</t>
        </is>
      </c>
      <c r="L78" s="37" t="inlineStr">
        <is>
          <t>Manual
1111044</t>
        </is>
      </c>
      <c r="M78" s="22" t="inlineStr">
        <is>
          <t>IC, MCU,32-Bit Microcontroller,RH850/F1K</t>
        </is>
      </c>
      <c r="N78" s="22" t="inlineStr">
        <is>
          <t>R7F7015833AFP
R7F7015833AFP-C
R7F7015833AFE
R7F7015833AFD</t>
        </is>
      </c>
      <c r="O78" s="22" t="inlineStr">
        <is>
          <t>SMD</t>
        </is>
      </c>
      <c r="P78" s="22" t="inlineStr">
        <is>
          <t>LFQFP-144</t>
        </is>
      </c>
      <c r="Q78" s="21" t="inlineStr">
        <is>
          <t>Valid</t>
        </is>
      </c>
    </row>
    <row r="79">
      <c r="A79" s="17" t="inlineStr">
        <is>
          <t>69</t>
        </is>
      </c>
      <c r="B79" s="32" t="inlineStr">
        <is>
          <t>X100</t>
        </is>
      </c>
      <c r="C79" s="17" t="inlineStr">
        <is>
          <t>Crystal, 20.000MHz,20PPM,20PPM,10P,60?,-40°C,85°C</t>
        </is>
      </c>
      <c r="D79" s="17" t="inlineStr">
        <is>
          <t>SJK-7V-10-20-60-C-20</t>
        </is>
      </c>
      <c r="E79" s="17" t="inlineStr">
        <is>
          <t>SMD</t>
        </is>
      </c>
      <c r="F79" s="17" t="inlineStr">
        <is>
          <t>3225</t>
        </is>
      </c>
      <c r="G79" s="36" t="inlineStr">
        <is>
          <t>1</t>
        </is>
      </c>
      <c r="H79" s="17" t="inlineStr">
        <is>
          <t>SJK</t>
        </is>
      </c>
      <c r="I79" s="35" t="inlineStr">
        <is>
          <t>1111096</t>
        </is>
      </c>
      <c r="J79" s="22" t="n"/>
      <c r="K79" s="21" t="inlineStr">
        <is>
          <t>Valid*</t>
        </is>
      </c>
      <c r="L79" s="22" t="n"/>
      <c r="M79" s="22" t="n"/>
      <c r="N79" s="22" t="n"/>
      <c r="O79" s="22" t="n"/>
      <c r="P79" s="22" t="n"/>
      <c r="Q79" s="21" t="n"/>
    </row>
    <row r="80">
      <c r="A80" s="17" t="inlineStr">
        <is>
          <t>70</t>
        </is>
      </c>
      <c r="B80" s="32" t="inlineStr">
        <is>
          <t>PCB100</t>
        </is>
      </c>
      <c r="C80" s="17" t="inlineStr">
        <is>
          <t>PCB, SBMi</t>
        </is>
      </c>
      <c r="D80" s="37" t="inlineStr">
        <is>
          <t>SBMi_F1K_B2</t>
        </is>
      </c>
      <c r="E80" s="17" t="inlineStr">
        <is>
          <t>4Layer,FR4</t>
        </is>
      </c>
      <c r="F80" s="17" t="inlineStr">
        <is>
          <t>130 x 150 x 1.6mm</t>
        </is>
      </c>
      <c r="G80" s="36" t="inlineStr">
        <is>
          <t>1</t>
        </is>
      </c>
      <c r="H80" s="17" t="inlineStr">
        <is>
          <t>According brand list</t>
        </is>
      </c>
      <c r="I80" s="35" t="inlineStr">
        <is>
          <t>1100468</t>
        </is>
      </c>
      <c r="J80" s="22" t="n"/>
      <c r="K80" s="21" t="inlineStr">
        <is>
          <t>Valid*</t>
        </is>
      </c>
      <c r="L80" s="22" t="n"/>
      <c r="M80" s="22" t="n"/>
      <c r="N80" s="22" t="n"/>
      <c r="O80" s="22" t="n"/>
      <c r="P80" s="22" t="n"/>
      <c r="Q80" s="21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1" t="n"/>
      <c r="L81" s="21" t="n"/>
      <c r="M81" s="21" t="n"/>
      <c r="N81" s="21" t="n"/>
      <c r="O81" s="21" t="n"/>
      <c r="P81" s="21" t="n"/>
      <c r="Q81" s="21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1" t="n"/>
      <c r="L82" s="21" t="n"/>
      <c r="M82" s="21" t="n"/>
      <c r="N82" s="21" t="n"/>
      <c r="O82" s="21" t="n"/>
      <c r="P82" s="21" t="n"/>
      <c r="Q82" s="21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1" t="n"/>
      <c r="L83" s="21" t="n"/>
      <c r="M83" s="21" t="n"/>
      <c r="N83" s="21" t="n"/>
      <c r="O83" s="21" t="n"/>
      <c r="P83" s="21" t="n"/>
      <c r="Q83" s="21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1" t="n"/>
      <c r="L84" s="21" t="n"/>
      <c r="M84" s="21" t="n"/>
      <c r="N84" s="21" t="n"/>
      <c r="O84" s="21" t="n"/>
      <c r="P84" s="21" t="n"/>
      <c r="Q84" s="21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1" t="n"/>
      <c r="L85" s="21" t="n"/>
      <c r="M85" s="21" t="n"/>
      <c r="N85" s="21" t="n"/>
      <c r="O85" s="21" t="n"/>
      <c r="P85" s="21" t="n"/>
      <c r="Q85" s="21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1" t="n"/>
      <c r="L86" s="21" t="n"/>
      <c r="M86" s="21" t="n"/>
      <c r="N86" s="21" t="n"/>
      <c r="O86" s="21" t="n"/>
      <c r="P86" s="21" t="n"/>
      <c r="Q86" s="21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1" t="n"/>
      <c r="L87" s="21" t="n"/>
      <c r="M87" s="21" t="n"/>
      <c r="N87" s="21" t="n"/>
      <c r="O87" s="21" t="n"/>
      <c r="P87" s="21" t="n"/>
      <c r="Q87" s="21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1" t="n"/>
      <c r="L88" s="21" t="n"/>
      <c r="M88" s="21" t="n"/>
      <c r="N88" s="21" t="n"/>
      <c r="O88" s="21" t="n"/>
      <c r="P88" s="21" t="n"/>
      <c r="Q88" s="21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1" t="n"/>
      <c r="L89" s="21" t="n"/>
      <c r="M89" s="21" t="n"/>
      <c r="N89" s="21" t="n"/>
      <c r="O89" s="21" t="n"/>
      <c r="P89" s="21" t="n"/>
      <c r="Q89" s="21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1" t="n"/>
      <c r="L90" s="21" t="n"/>
      <c r="M90" s="21" t="n"/>
      <c r="N90" s="21" t="n"/>
      <c r="O90" s="21" t="n"/>
      <c r="P90" s="21" t="n"/>
      <c r="Q90" s="21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1" t="n"/>
      <c r="L91" s="21" t="n"/>
      <c r="M91" s="21" t="n"/>
      <c r="N91" s="21" t="n"/>
      <c r="O91" s="21" t="n"/>
      <c r="P91" s="21" t="n"/>
      <c r="Q91" s="21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1" t="n"/>
      <c r="L92" s="21" t="n"/>
      <c r="M92" s="21" t="n"/>
      <c r="N92" s="21" t="n"/>
      <c r="O92" s="21" t="n"/>
      <c r="P92" s="21" t="n"/>
      <c r="Q92" s="21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1" t="n"/>
      <c r="L93" s="21" t="n"/>
      <c r="M93" s="21" t="n"/>
      <c r="N93" s="21" t="n"/>
      <c r="O93" s="21" t="n"/>
      <c r="P93" s="21" t="n"/>
      <c r="Q93" s="21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1" t="n"/>
      <c r="L94" s="21" t="n"/>
      <c r="M94" s="21" t="n"/>
      <c r="N94" s="21" t="n"/>
      <c r="O94" s="21" t="n"/>
      <c r="P94" s="21" t="n"/>
      <c r="Q94" s="21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1" t="n"/>
      <c r="L95" s="21" t="n"/>
      <c r="M95" s="21" t="n"/>
      <c r="N95" s="21" t="n"/>
      <c r="O95" s="21" t="n"/>
      <c r="P95" s="21" t="n"/>
      <c r="Q95" s="21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1" t="n"/>
      <c r="L96" s="21" t="n"/>
      <c r="M96" s="21" t="n"/>
      <c r="N96" s="21" t="n"/>
      <c r="O96" s="21" t="n"/>
      <c r="P96" s="21" t="n"/>
      <c r="Q96" s="21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1" t="n"/>
      <c r="L97" s="21" t="n"/>
      <c r="M97" s="21" t="n"/>
      <c r="N97" s="21" t="n"/>
      <c r="O97" s="21" t="n"/>
      <c r="P97" s="21" t="n"/>
      <c r="Q97" s="21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1" t="n"/>
      <c r="L98" s="21" t="n"/>
      <c r="M98" s="21" t="n"/>
      <c r="N98" s="21" t="n"/>
      <c r="O98" s="21" t="n"/>
      <c r="P98" s="21" t="n"/>
      <c r="Q98" s="21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1" t="n"/>
      <c r="L99" s="21" t="n"/>
      <c r="M99" s="21" t="n"/>
      <c r="N99" s="21" t="n"/>
      <c r="O99" s="21" t="n"/>
      <c r="P99" s="21" t="n"/>
      <c r="Q99" s="21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1" t="n"/>
      <c r="L100" s="21" t="n"/>
      <c r="M100" s="21" t="n"/>
      <c r="N100" s="21" t="n"/>
      <c r="O100" s="21" t="n"/>
      <c r="P100" s="21" t="n"/>
      <c r="Q100" s="21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1" t="n"/>
      <c r="L101" s="21" t="n"/>
      <c r="M101" s="21" t="n"/>
      <c r="N101" s="21" t="n"/>
      <c r="O101" s="21" t="n"/>
      <c r="P101" s="21" t="n"/>
      <c r="Q101" s="21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1" t="n"/>
      <c r="L102" s="21" t="n"/>
      <c r="M102" s="21" t="n"/>
      <c r="N102" s="21" t="n"/>
      <c r="O102" s="21" t="n"/>
      <c r="P102" s="21" t="n"/>
      <c r="Q102" s="21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1" t="n"/>
      <c r="L103" s="21" t="n"/>
      <c r="M103" s="21" t="n"/>
      <c r="N103" s="21" t="n"/>
      <c r="O103" s="21" t="n"/>
      <c r="P103" s="21" t="n"/>
      <c r="Q103" s="21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1" t="n"/>
      <c r="L104" s="21" t="n"/>
      <c r="M104" s="21" t="n"/>
      <c r="N104" s="21" t="n"/>
      <c r="O104" s="21" t="n"/>
      <c r="P104" s="21" t="n"/>
      <c r="Q104" s="21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1" t="n"/>
      <c r="L105" s="21" t="n"/>
      <c r="M105" s="21" t="n"/>
      <c r="N105" s="21" t="n"/>
      <c r="O105" s="21" t="n"/>
      <c r="P105" s="21" t="n"/>
      <c r="Q105" s="21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1" t="n"/>
      <c r="L106" s="21" t="n"/>
      <c r="M106" s="21" t="n"/>
      <c r="N106" s="21" t="n"/>
      <c r="O106" s="21" t="n"/>
      <c r="P106" s="21" t="n"/>
      <c r="Q106" s="21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1" t="n"/>
      <c r="L107" s="21" t="n"/>
      <c r="M107" s="21" t="n"/>
      <c r="N107" s="21" t="n"/>
      <c r="O107" s="21" t="n"/>
      <c r="P107" s="21" t="n"/>
      <c r="Q107" s="21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1" t="n"/>
      <c r="L108" s="21" t="n"/>
      <c r="M108" s="21" t="n"/>
      <c r="N108" s="21" t="n"/>
      <c r="O108" s="21" t="n"/>
      <c r="P108" s="21" t="n"/>
      <c r="Q108" s="21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1" t="n"/>
      <c r="L109" s="21" t="n"/>
      <c r="M109" s="21" t="n"/>
      <c r="N109" s="21" t="n"/>
      <c r="O109" s="21" t="n"/>
      <c r="P109" s="21" t="n"/>
      <c r="Q109" s="21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1" t="n"/>
      <c r="L110" s="21" t="n"/>
      <c r="M110" s="21" t="n"/>
      <c r="N110" s="21" t="n"/>
      <c r="O110" s="21" t="n"/>
      <c r="P110" s="21" t="n"/>
      <c r="Q110" s="21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1" t="n"/>
      <c r="L111" s="21" t="n"/>
      <c r="M111" s="21" t="n"/>
      <c r="N111" s="21" t="n"/>
      <c r="O111" s="21" t="n"/>
      <c r="P111" s="21" t="n"/>
      <c r="Q111" s="21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1" t="n"/>
      <c r="L112" s="21" t="n"/>
      <c r="M112" s="21" t="n"/>
      <c r="N112" s="21" t="n"/>
      <c r="O112" s="21" t="n"/>
      <c r="P112" s="21" t="n"/>
      <c r="Q112" s="21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1" t="n"/>
      <c r="L113" s="21" t="n"/>
      <c r="M113" s="21" t="n"/>
      <c r="N113" s="21" t="n"/>
      <c r="O113" s="21" t="n"/>
      <c r="P113" s="21" t="n"/>
      <c r="Q113" s="21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1" t="n"/>
      <c r="L114" s="21" t="n"/>
      <c r="M114" s="21" t="n"/>
      <c r="N114" s="21" t="n"/>
      <c r="O114" s="21" t="n"/>
      <c r="P114" s="21" t="n"/>
      <c r="Q114" s="21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1" t="n"/>
      <c r="L115" s="21" t="n"/>
      <c r="M115" s="21" t="n"/>
      <c r="N115" s="21" t="n"/>
      <c r="O115" s="21" t="n"/>
      <c r="P115" s="21" t="n"/>
      <c r="Q115" s="21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1" t="n"/>
      <c r="L116" s="21" t="n"/>
      <c r="M116" s="21" t="n"/>
      <c r="N116" s="21" t="n"/>
      <c r="O116" s="21" t="n"/>
      <c r="P116" s="21" t="n"/>
      <c r="Q116" s="21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1" t="n"/>
      <c r="L117" s="21" t="n"/>
      <c r="M117" s="21" t="n"/>
      <c r="N117" s="21" t="n"/>
      <c r="O117" s="21" t="n"/>
      <c r="P117" s="21" t="n"/>
      <c r="Q117" s="21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1" t="n"/>
      <c r="L118" s="21" t="n"/>
      <c r="M118" s="21" t="n"/>
      <c r="N118" s="21" t="n"/>
      <c r="O118" s="21" t="n"/>
      <c r="P118" s="21" t="n"/>
      <c r="Q118" s="21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1" t="n"/>
      <c r="L119" s="21" t="n"/>
      <c r="M119" s="21" t="n"/>
      <c r="N119" s="21" t="n"/>
      <c r="O119" s="21" t="n"/>
      <c r="P119" s="21" t="n"/>
      <c r="Q119" s="21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1" t="n"/>
      <c r="L120" s="21" t="n"/>
      <c r="M120" s="21" t="n"/>
      <c r="N120" s="21" t="n"/>
      <c r="O120" s="21" t="n"/>
      <c r="P120" s="21" t="n"/>
      <c r="Q120" s="21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1" t="n"/>
      <c r="L121" s="21" t="n"/>
      <c r="M121" s="21" t="n"/>
      <c r="N121" s="21" t="n"/>
      <c r="O121" s="21" t="n"/>
      <c r="P121" s="21" t="n"/>
      <c r="Q121" s="21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1" t="n"/>
      <c r="L122" s="21" t="n"/>
      <c r="M122" s="21" t="n"/>
      <c r="N122" s="21" t="n"/>
      <c r="O122" s="21" t="n"/>
      <c r="P122" s="21" t="n"/>
      <c r="Q122" s="21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1" t="n"/>
      <c r="L123" s="21" t="n"/>
      <c r="M123" s="21" t="n"/>
      <c r="N123" s="21" t="n"/>
      <c r="O123" s="21" t="n"/>
      <c r="P123" s="21" t="n"/>
      <c r="Q123" s="21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1" t="n"/>
      <c r="L124" s="21" t="n"/>
      <c r="M124" s="21" t="n"/>
      <c r="N124" s="21" t="n"/>
      <c r="O124" s="21" t="n"/>
      <c r="P124" s="21" t="n"/>
      <c r="Q124" s="21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1" t="n"/>
      <c r="L125" s="21" t="n"/>
      <c r="M125" s="21" t="n"/>
      <c r="N125" s="21" t="n"/>
      <c r="O125" s="21" t="n"/>
      <c r="P125" s="21" t="n"/>
      <c r="Q125" s="21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1" t="n"/>
      <c r="L126" s="21" t="n"/>
      <c r="M126" s="21" t="n"/>
      <c r="N126" s="21" t="n"/>
      <c r="O126" s="21" t="n"/>
      <c r="P126" s="21" t="n"/>
      <c r="Q126" s="21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1" t="n"/>
      <c r="L127" s="21" t="n"/>
      <c r="M127" s="21" t="n"/>
      <c r="N127" s="21" t="n"/>
      <c r="O127" s="21" t="n"/>
      <c r="P127" s="21" t="n"/>
      <c r="Q127" s="21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1" t="n"/>
      <c r="L128" s="21" t="n"/>
      <c r="M128" s="21" t="n"/>
      <c r="N128" s="21" t="n"/>
      <c r="O128" s="21" t="n"/>
      <c r="P128" s="21" t="n"/>
      <c r="Q128" s="21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1" t="n"/>
      <c r="L129" s="21" t="n"/>
      <c r="M129" s="21" t="n"/>
      <c r="N129" s="21" t="n"/>
      <c r="O129" s="21" t="n"/>
      <c r="P129" s="21" t="n"/>
      <c r="Q129" s="21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1" t="n"/>
      <c r="L130" s="21" t="n"/>
      <c r="M130" s="21" t="n"/>
      <c r="N130" s="21" t="n"/>
      <c r="O130" s="21" t="n"/>
      <c r="P130" s="21" t="n"/>
      <c r="Q130" s="21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1" t="n"/>
      <c r="L131" s="21" t="n"/>
      <c r="M131" s="21" t="n"/>
      <c r="N131" s="21" t="n"/>
      <c r="O131" s="21" t="n"/>
      <c r="P131" s="21" t="n"/>
      <c r="Q131" s="21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1" t="n"/>
      <c r="L132" s="21" t="n"/>
      <c r="M132" s="21" t="n"/>
      <c r="N132" s="21" t="n"/>
      <c r="O132" s="21" t="n"/>
      <c r="P132" s="21" t="n"/>
      <c r="Q132" s="21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1" t="n"/>
      <c r="L133" s="21" t="n"/>
      <c r="M133" s="21" t="n"/>
      <c r="N133" s="21" t="n"/>
      <c r="O133" s="21" t="n"/>
      <c r="P133" s="21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1" t="n"/>
      <c r="L134" s="21" t="n"/>
      <c r="M134" s="21" t="n"/>
      <c r="N134" s="21" t="n"/>
      <c r="O134" s="21" t="n"/>
      <c r="P134" s="21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1" t="n"/>
      <c r="L135" s="21" t="n"/>
      <c r="M135" s="21" t="n"/>
      <c r="N135" s="21" t="n"/>
      <c r="O135" s="21" t="n"/>
      <c r="P135" s="21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1" t="n"/>
      <c r="L136" s="21" t="n"/>
      <c r="M136" s="21" t="n"/>
      <c r="N136" s="21" t="n"/>
      <c r="O136" s="21" t="n"/>
      <c r="P136" s="21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1" t="n"/>
      <c r="L137" s="21" t="n"/>
      <c r="M137" s="21" t="n"/>
      <c r="N137" s="21" t="n"/>
      <c r="O137" s="21" t="n"/>
      <c r="P137" s="21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1" t="n"/>
      <c r="L138" s="21" t="n"/>
      <c r="M138" s="21" t="n"/>
      <c r="N138" s="21" t="n"/>
      <c r="O138" s="21" t="n"/>
      <c r="P138" s="21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1" t="n"/>
      <c r="L139" s="21" t="n"/>
      <c r="M139" s="21" t="n"/>
      <c r="N139" s="21" t="n"/>
      <c r="O139" s="21" t="n"/>
      <c r="P139" s="21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1" t="n"/>
      <c r="L140" s="21" t="n"/>
      <c r="M140" s="21" t="n"/>
      <c r="N140" s="21" t="n"/>
      <c r="O140" s="21" t="n"/>
      <c r="P140" s="21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1" t="n"/>
      <c r="L141" s="21" t="n"/>
      <c r="M141" s="21" t="n"/>
      <c r="N141" s="21" t="n"/>
      <c r="O141" s="21" t="n"/>
      <c r="P141" s="21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1" t="n"/>
      <c r="L142" s="21" t="n"/>
      <c r="M142" s="21" t="n"/>
      <c r="N142" s="21" t="n"/>
      <c r="O142" s="21" t="n"/>
      <c r="P142" s="21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1" t="n"/>
      <c r="L143" s="21" t="n"/>
      <c r="M143" s="21" t="n"/>
      <c r="N143" s="21" t="n"/>
      <c r="O143" s="21" t="n"/>
      <c r="P143" s="21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1" t="n"/>
      <c r="L144" s="21" t="n"/>
      <c r="M144" s="21" t="n"/>
      <c r="N144" s="21" t="n"/>
      <c r="O144" s="21" t="n"/>
      <c r="P144" s="21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1" t="n"/>
      <c r="L145" s="21" t="n"/>
      <c r="M145" s="21" t="n"/>
      <c r="N145" s="21" t="n"/>
      <c r="O145" s="21" t="n"/>
      <c r="P145" s="21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1" t="n"/>
      <c r="L146" s="21" t="n"/>
      <c r="M146" s="21" t="n"/>
      <c r="N146" s="21" t="n"/>
      <c r="O146" s="21" t="n"/>
      <c r="P146" s="21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1" t="n"/>
      <c r="L147" s="21" t="n"/>
      <c r="M147" s="21" t="n"/>
      <c r="N147" s="21" t="n"/>
      <c r="O147" s="21" t="n"/>
      <c r="P147" s="21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1" t="n"/>
      <c r="L148" s="21" t="n"/>
      <c r="M148" s="21" t="n"/>
      <c r="N148" s="21" t="n"/>
      <c r="O148" s="21" t="n"/>
      <c r="P148" s="21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1" t="n"/>
      <c r="L149" s="21" t="n"/>
      <c r="M149" s="21" t="n"/>
      <c r="N149" s="21" t="n"/>
      <c r="O149" s="21" t="n"/>
      <c r="P149" s="21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1" t="n"/>
      <c r="L150" s="21" t="n"/>
      <c r="M150" s="21" t="n"/>
      <c r="N150" s="21" t="n"/>
      <c r="O150" s="21" t="n"/>
      <c r="P150" s="21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1" t="n"/>
      <c r="L151" s="21" t="n"/>
      <c r="M151" s="21" t="n"/>
      <c r="N151" s="21" t="n"/>
      <c r="O151" s="21" t="n"/>
      <c r="P151" s="21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1" t="n"/>
      <c r="L152" s="21" t="n"/>
      <c r="M152" s="21" t="n"/>
      <c r="N152" s="21" t="n"/>
      <c r="O152" s="21" t="n"/>
      <c r="P152" s="21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1" t="n"/>
      <c r="L153" s="21" t="n"/>
      <c r="M153" s="21" t="n"/>
      <c r="N153" s="21" t="n"/>
      <c r="O153" s="21" t="n"/>
      <c r="P153" s="21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1" t="n"/>
      <c r="L154" s="21" t="n"/>
      <c r="M154" s="21" t="n"/>
      <c r="N154" s="21" t="n"/>
      <c r="O154" s="21" t="n"/>
      <c r="P154" s="21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1" t="n"/>
      <c r="L155" s="21" t="n"/>
      <c r="M155" s="21" t="n"/>
      <c r="N155" s="21" t="n"/>
      <c r="O155" s="21" t="n"/>
      <c r="P155" s="21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1" t="n"/>
      <c r="L156" s="21" t="n"/>
      <c r="M156" s="21" t="n"/>
      <c r="N156" s="21" t="n"/>
      <c r="O156" s="21" t="n"/>
      <c r="P156" s="21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1" t="n"/>
      <c r="L157" s="21" t="n"/>
      <c r="M157" s="21" t="n"/>
      <c r="N157" s="21" t="n"/>
      <c r="O157" s="21" t="n"/>
      <c r="P157" s="21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1" t="n"/>
      <c r="L158" s="21" t="n"/>
      <c r="M158" s="21" t="n"/>
      <c r="N158" s="21" t="n"/>
      <c r="O158" s="21" t="n"/>
      <c r="P158" s="21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1" t="n"/>
      <c r="L159" s="21" t="n"/>
      <c r="M159" s="21" t="n"/>
      <c r="N159" s="21" t="n"/>
      <c r="O159" s="21" t="n"/>
      <c r="P159" s="21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1" t="n"/>
      <c r="L160" s="21" t="n"/>
      <c r="M160" s="21" t="n"/>
      <c r="N160" s="21" t="n"/>
      <c r="O160" s="21" t="n"/>
      <c r="P160" s="21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1" t="n"/>
      <c r="L161" s="21" t="n"/>
      <c r="M161" s="21" t="n"/>
      <c r="N161" s="21" t="n"/>
      <c r="O161" s="21" t="n"/>
      <c r="P161" s="21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1" t="n"/>
      <c r="L162" s="21" t="n"/>
      <c r="M162" s="21" t="n"/>
      <c r="N162" s="21" t="n"/>
      <c r="O162" s="21" t="n"/>
      <c r="P162" s="21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1" t="n"/>
      <c r="L163" s="21" t="n"/>
      <c r="M163" s="21" t="n"/>
      <c r="N163" s="21" t="n"/>
      <c r="O163" s="21" t="n"/>
      <c r="P163" s="21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1" t="n"/>
      <c r="L164" s="21" t="n"/>
      <c r="M164" s="21" t="n"/>
      <c r="N164" s="21" t="n"/>
      <c r="O164" s="21" t="n"/>
      <c r="P164" s="21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1" t="n"/>
      <c r="L165" s="21" t="n"/>
      <c r="M165" s="21" t="n"/>
      <c r="N165" s="21" t="n"/>
      <c r="O165" s="21" t="n"/>
      <c r="P165" s="21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1" t="n"/>
      <c r="L166" s="21" t="n"/>
      <c r="M166" s="21" t="n"/>
      <c r="N166" s="21" t="n"/>
      <c r="O166" s="21" t="n"/>
      <c r="P166" s="21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1" t="n"/>
      <c r="L167" s="21" t="n"/>
      <c r="M167" s="21" t="n"/>
      <c r="N167" s="21" t="n"/>
      <c r="O167" s="21" t="n"/>
      <c r="P167" s="21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1" t="n"/>
      <c r="L168" s="21" t="n"/>
      <c r="M168" s="21" t="n"/>
      <c r="N168" s="21" t="n"/>
      <c r="O168" s="21" t="n"/>
      <c r="P168" s="21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1" t="n"/>
      <c r="L169" s="21" t="n"/>
      <c r="M169" s="21" t="n"/>
      <c r="N169" s="21" t="n"/>
      <c r="O169" s="21" t="n"/>
      <c r="P169" s="21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1" t="n"/>
      <c r="L170" s="21" t="n"/>
      <c r="M170" s="21" t="n"/>
      <c r="N170" s="21" t="n"/>
      <c r="O170" s="21" t="n"/>
      <c r="P170" s="21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1" t="n"/>
      <c r="L171" s="21" t="n"/>
      <c r="M171" s="21" t="n"/>
      <c r="N171" s="21" t="n"/>
      <c r="O171" s="21" t="n"/>
      <c r="P171" s="21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1" t="n"/>
      <c r="L172" s="21" t="n"/>
      <c r="M172" s="21" t="n"/>
      <c r="N172" s="21" t="n"/>
      <c r="O172" s="21" t="n"/>
      <c r="P172" s="21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1" t="n"/>
      <c r="L173" s="21" t="n"/>
      <c r="M173" s="21" t="n"/>
      <c r="N173" s="21" t="n"/>
      <c r="O173" s="21" t="n"/>
      <c r="P173" s="21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1" t="n"/>
      <c r="L174" s="21" t="n"/>
      <c r="M174" s="21" t="n"/>
      <c r="N174" s="21" t="n"/>
      <c r="O174" s="21" t="n"/>
      <c r="P174" s="21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1" t="n"/>
      <c r="L175" s="21" t="n"/>
      <c r="M175" s="21" t="n"/>
      <c r="N175" s="21" t="n"/>
      <c r="O175" s="21" t="n"/>
      <c r="P175" s="21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1" t="n"/>
      <c r="L176" s="21" t="n"/>
      <c r="M176" s="21" t="n"/>
      <c r="N176" s="21" t="n"/>
      <c r="O176" s="21" t="n"/>
      <c r="P176" s="21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1" t="n"/>
      <c r="L177" s="21" t="n"/>
      <c r="M177" s="21" t="n"/>
      <c r="N177" s="21" t="n"/>
      <c r="O177" s="21" t="n"/>
      <c r="P177" s="21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1" t="n"/>
      <c r="L178" s="21" t="n"/>
      <c r="M178" s="21" t="n"/>
      <c r="N178" s="21" t="n"/>
      <c r="O178" s="21" t="n"/>
      <c r="P178" s="21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1" t="n"/>
      <c r="L179" s="21" t="n"/>
      <c r="M179" s="21" t="n"/>
      <c r="N179" s="21" t="n"/>
      <c r="O179" s="21" t="n"/>
      <c r="P179" s="21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1" t="n"/>
      <c r="L180" s="21" t="n"/>
      <c r="M180" s="21" t="n"/>
      <c r="N180" s="21" t="n"/>
      <c r="O180" s="21" t="n"/>
      <c r="P180" s="21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1" t="n"/>
      <c r="L181" s="21" t="n"/>
      <c r="M181" s="21" t="n"/>
      <c r="N181" s="21" t="n"/>
      <c r="O181" s="21" t="n"/>
      <c r="P181" s="21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1" t="n"/>
      <c r="L182" s="21" t="n"/>
      <c r="M182" s="21" t="n"/>
      <c r="N182" s="21" t="n"/>
      <c r="O182" s="21" t="n"/>
      <c r="P182" s="21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1" t="n"/>
      <c r="L183" s="21" t="n"/>
      <c r="M183" s="21" t="n"/>
      <c r="N183" s="21" t="n"/>
      <c r="O183" s="21" t="n"/>
      <c r="P183" s="21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1" t="n"/>
      <c r="L184" s="21" t="n"/>
      <c r="M184" s="21" t="n"/>
      <c r="N184" s="21" t="n"/>
      <c r="O184" s="21" t="n"/>
      <c r="P184" s="21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1" t="n"/>
      <c r="L185" s="21" t="n"/>
      <c r="M185" s="21" t="n"/>
      <c r="N185" s="21" t="n"/>
      <c r="O185" s="21" t="n"/>
      <c r="P185" s="21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1" t="n"/>
      <c r="L186" s="21" t="n"/>
      <c r="M186" s="21" t="n"/>
      <c r="N186" s="21" t="n"/>
      <c r="O186" s="21" t="n"/>
      <c r="P186" s="21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1" t="n"/>
      <c r="L187" s="21" t="n"/>
      <c r="M187" s="21" t="n"/>
      <c r="N187" s="21" t="n"/>
      <c r="O187" s="21" t="n"/>
      <c r="P187" s="21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1" t="n"/>
      <c r="L188" s="21" t="n"/>
      <c r="M188" s="21" t="n"/>
      <c r="N188" s="21" t="n"/>
      <c r="O188" s="21" t="n"/>
      <c r="P188" s="21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1" t="n"/>
      <c r="L189" s="21" t="n"/>
      <c r="M189" s="21" t="n"/>
      <c r="N189" s="21" t="n"/>
      <c r="O189" s="21" t="n"/>
      <c r="P189" s="21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1" t="n"/>
      <c r="L190" s="21" t="n"/>
      <c r="M190" s="21" t="n"/>
      <c r="N190" s="21" t="n"/>
      <c r="O190" s="21" t="n"/>
      <c r="P190" s="21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1" t="n"/>
      <c r="L191" s="21" t="n"/>
      <c r="M191" s="21" t="n"/>
      <c r="N191" s="21" t="n"/>
      <c r="O191" s="21" t="n"/>
      <c r="P191" s="21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1" t="n"/>
      <c r="L192" s="21" t="n"/>
      <c r="M192" s="21" t="n"/>
      <c r="N192" s="21" t="n"/>
      <c r="O192" s="21" t="n"/>
      <c r="P192" s="21" t="n"/>
    </row>
  </sheetData>
  <mergeCells count="24">
    <mergeCell ref="A8:J8"/>
    <mergeCell ref="H9:H10"/>
    <mergeCell ref="G6:I6"/>
    <mergeCell ref="J9:J10"/>
    <mergeCell ref="B3:C3"/>
    <mergeCell ref="G3:I3"/>
    <mergeCell ref="G1:J1"/>
    <mergeCell ref="C9:C10"/>
    <mergeCell ref="E9:E10"/>
    <mergeCell ref="G5:I5"/>
    <mergeCell ref="D3:D4"/>
    <mergeCell ref="G4:I4"/>
    <mergeCell ref="C1:E2"/>
    <mergeCell ref="B9:B10"/>
    <mergeCell ref="D9:D10"/>
    <mergeCell ref="F9:F10"/>
    <mergeCell ref="A7:J7"/>
    <mergeCell ref="G2:I2"/>
    <mergeCell ref="B6:C6"/>
    <mergeCell ref="G9:G10"/>
    <mergeCell ref="L9:P9"/>
    <mergeCell ref="A9:A10"/>
    <mergeCell ref="B5:C5"/>
    <mergeCell ref="B4:C4"/>
  </mergeCells>
  <pageMargins left="0.7086614173228347" right="0.7086614173228347" top="0.7480314960629921" bottom="0.7480314960629921" header="0.3149606299212598" footer="0.3149606299212598"/>
  <pageSetup orientation="portrait" scale="26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0"/>
  <sheetViews>
    <sheetView rightToLeft="1" workbookViewId="0">
      <selection activeCell="G5" sqref="G5"/>
    </sheetView>
  </sheetViews>
  <sheetFormatPr baseColWidth="8" defaultRowHeight="15"/>
  <cols>
    <col width="9.7109375" bestFit="1" customWidth="1" style="1" min="1" max="1"/>
    <col width="12.28515625" bestFit="1" customWidth="1" style="1" min="2" max="3"/>
    <col width="8.140625" bestFit="1" customWidth="1" style="1" min="4" max="4"/>
    <col width="17.42578125" bestFit="1" customWidth="1" style="1" min="5" max="5"/>
    <col width="61.28515625" bestFit="1" customWidth="1" style="1" min="6" max="6"/>
  </cols>
  <sheetData>
    <row r="1">
      <c r="A1" s="1" t="inlineStr">
        <is>
          <t>Designator</t>
        </is>
      </c>
      <c r="B1" s="1" t="inlineStr">
        <is>
          <t>Center-X(mm)</t>
        </is>
      </c>
      <c r="C1" s="1" t="inlineStr">
        <is>
          <t>Center-Y(mm)</t>
        </is>
      </c>
      <c r="D1" s="1" t="inlineStr">
        <is>
          <t>Rotation</t>
        </is>
      </c>
      <c r="E1" s="1" t="inlineStr">
        <is>
          <t>SPCO Stock Number</t>
        </is>
      </c>
      <c r="F1" s="1" t="inlineStr">
        <is>
          <t>Description</t>
        </is>
      </c>
    </row>
    <row r="2">
      <c r="A2" s="1" t="inlineStr">
        <is>
          <t>C100</t>
        </is>
      </c>
      <c r="B2" s="1" t="n">
        <v>96.24769999999999</v>
      </c>
      <c r="C2" s="1" t="n">
        <v>33.926</v>
      </c>
      <c r="D2" s="1" t="n">
        <v>90</v>
      </c>
      <c r="E2" s="1" t="n">
        <v>1110101</v>
      </c>
      <c r="F2" s="1" t="inlineStr">
        <is>
          <t>Capacitor,X7R,47N,50V,10%,0603(1608)</t>
        </is>
      </c>
    </row>
    <row r="3">
      <c r="A3" s="1" t="inlineStr">
        <is>
          <t>C109</t>
        </is>
      </c>
      <c r="B3" s="1" t="n">
        <v>110.4977</v>
      </c>
      <c r="C3" s="1" t="n">
        <v>34.026</v>
      </c>
      <c r="D3" s="1" t="n">
        <v>270</v>
      </c>
      <c r="E3" s="1" t="n">
        <v>1110101</v>
      </c>
      <c r="F3" s="1" t="inlineStr">
        <is>
          <t>Capacitor,X7R,47N,50V,10%,0603(1608)</t>
        </is>
      </c>
    </row>
    <row r="4">
      <c r="A4" s="1" t="inlineStr">
        <is>
          <t>C110</t>
        </is>
      </c>
      <c r="B4" s="1" t="n">
        <v>110.4977</v>
      </c>
      <c r="C4" s="1" t="n">
        <v>31.326</v>
      </c>
      <c r="D4" s="1" t="n">
        <v>270</v>
      </c>
      <c r="E4" s="1" t="n">
        <v>1110101</v>
      </c>
      <c r="F4" s="1" t="inlineStr">
        <is>
          <t>Capacitor,X7R,47N,50V,10%,0603(1608)</t>
        </is>
      </c>
    </row>
    <row r="5">
      <c r="A5" s="1" t="inlineStr">
        <is>
          <t>C112</t>
        </is>
      </c>
      <c r="B5" s="1" t="n">
        <v>110.4977</v>
      </c>
      <c r="C5" s="1" t="n">
        <v>28.676</v>
      </c>
      <c r="D5" s="1" t="n">
        <v>270</v>
      </c>
      <c r="E5" s="1" t="n">
        <v>1110101</v>
      </c>
      <c r="F5" s="1" t="inlineStr">
        <is>
          <t>Capacitor,X7R,47N,50V,10%,0603(1608)</t>
        </is>
      </c>
    </row>
    <row r="6">
      <c r="A6" s="1" t="inlineStr">
        <is>
          <t>C113</t>
        </is>
      </c>
      <c r="B6" s="1" t="n">
        <v>116.5477</v>
      </c>
      <c r="C6" s="1" t="n">
        <v>34.026</v>
      </c>
      <c r="D6" s="1" t="n">
        <v>270</v>
      </c>
      <c r="E6" s="1" t="n">
        <v>1110101</v>
      </c>
      <c r="F6" s="1" t="inlineStr">
        <is>
          <t>Capacitor,X7R,47N,50V,10%,0603(1608)</t>
        </is>
      </c>
    </row>
    <row r="7">
      <c r="A7" s="1" t="inlineStr">
        <is>
          <t>C114</t>
        </is>
      </c>
      <c r="B7" s="1" t="n">
        <v>116.5477</v>
      </c>
      <c r="C7" s="1" t="n">
        <v>31.376</v>
      </c>
      <c r="D7" s="1" t="n">
        <v>270</v>
      </c>
      <c r="E7" s="1" t="n">
        <v>1110101</v>
      </c>
      <c r="F7" s="1" t="inlineStr">
        <is>
          <t>Capacitor,X7R,47N,50V,10%,0603(1608)</t>
        </is>
      </c>
    </row>
    <row r="8">
      <c r="A8" s="1" t="inlineStr">
        <is>
          <t>C115</t>
        </is>
      </c>
      <c r="B8" s="1" t="n">
        <v>116.5477</v>
      </c>
      <c r="C8" s="1" t="n">
        <v>28.726</v>
      </c>
      <c r="D8" s="1" t="n">
        <v>270</v>
      </c>
      <c r="E8" s="1" t="n">
        <v>1110101</v>
      </c>
      <c r="F8" s="1" t="inlineStr">
        <is>
          <t>Capacitor,X7R,47N,50V,10%,0603(1608)</t>
        </is>
      </c>
    </row>
    <row r="9">
      <c r="A9" s="1" t="inlineStr">
        <is>
          <t>C116</t>
        </is>
      </c>
      <c r="B9" s="1" t="n">
        <v>116.5477</v>
      </c>
      <c r="C9" s="1" t="n">
        <v>26.026</v>
      </c>
      <c r="D9" s="1" t="n">
        <v>270</v>
      </c>
      <c r="E9" s="1" t="n">
        <v>1110101</v>
      </c>
      <c r="F9" s="1" t="inlineStr">
        <is>
          <t>Capacitor,X7R,47N,50V,10%,0603(1608)</t>
        </is>
      </c>
    </row>
    <row r="10">
      <c r="A10" s="1" t="inlineStr">
        <is>
          <t>C132</t>
        </is>
      </c>
      <c r="B10" s="1" t="n">
        <v>30.3477</v>
      </c>
      <c r="C10" s="1" t="n">
        <v>114.7858</v>
      </c>
      <c r="D10" s="1" t="n">
        <v>180</v>
      </c>
      <c r="E10" s="1" t="n">
        <v>1110101</v>
      </c>
      <c r="F10" s="1" t="inlineStr">
        <is>
          <t>Capacitor,X7R,47N,50V,10%,0603(1608)</t>
        </is>
      </c>
    </row>
    <row r="11">
      <c r="A11" s="1" t="inlineStr">
        <is>
          <t>C133</t>
        </is>
      </c>
      <c r="B11" s="1" t="n">
        <v>95.04770000000001</v>
      </c>
      <c r="C11" s="1" t="n">
        <v>91.3659</v>
      </c>
      <c r="D11" s="1" t="n">
        <v>90</v>
      </c>
      <c r="E11" s="1" t="n">
        <v>1110569</v>
      </c>
      <c r="F11" s="1" t="inlineStr">
        <is>
          <t>Capacitor,X7R,10N,50V,10%,0402(1005)</t>
        </is>
      </c>
    </row>
    <row r="12">
      <c r="A12" s="1" t="inlineStr">
        <is>
          <t>C140</t>
        </is>
      </c>
      <c r="B12" s="1" t="n">
        <v>82.0227</v>
      </c>
      <c r="C12" s="1" t="n">
        <v>58.251</v>
      </c>
      <c r="D12" s="1" t="n">
        <v>360</v>
      </c>
      <c r="E12" s="1" t="n">
        <v>1110109</v>
      </c>
      <c r="F12" s="1" t="inlineStr">
        <is>
          <t>Capacitor,NP0,68P,50V,5%,0603(1608)</t>
        </is>
      </c>
    </row>
    <row r="13">
      <c r="A13" s="1" t="inlineStr">
        <is>
          <t>C141</t>
        </is>
      </c>
      <c r="B13" s="1" t="n">
        <v>87.3477</v>
      </c>
      <c r="C13" s="1" t="n">
        <v>73.051</v>
      </c>
      <c r="D13" s="1" t="n">
        <v>180</v>
      </c>
      <c r="E13" s="1" t="n">
        <v>1110075</v>
      </c>
      <c r="F13" s="1" t="inlineStr">
        <is>
          <t>Capacitor,X7R,10N,50V,10%,0603(1608)</t>
        </is>
      </c>
    </row>
    <row r="14">
      <c r="A14" s="1" t="inlineStr">
        <is>
          <t>C142</t>
        </is>
      </c>
      <c r="B14" s="1" t="n">
        <v>82.0227</v>
      </c>
      <c r="C14" s="1" t="n">
        <v>53.351</v>
      </c>
      <c r="D14" s="1" t="n">
        <v>180</v>
      </c>
      <c r="E14" s="1" t="n">
        <v>1110109</v>
      </c>
      <c r="F14" s="1" t="inlineStr">
        <is>
          <t>Capacitor,NP0,68P,50V,5%,0603(1608)</t>
        </is>
      </c>
    </row>
    <row r="15">
      <c r="A15" s="1" t="inlineStr">
        <is>
          <t>C143</t>
        </is>
      </c>
      <c r="B15" s="1" t="n">
        <v>86.99769999999999</v>
      </c>
      <c r="C15" s="1" t="n">
        <v>67.176</v>
      </c>
      <c r="D15" s="1" t="n">
        <v>270</v>
      </c>
      <c r="E15" s="1" t="n">
        <v>1110132</v>
      </c>
      <c r="F15" s="1" t="inlineStr">
        <is>
          <t>Capacitor,X7R,1N,50V,10%,0603(1608)</t>
        </is>
      </c>
    </row>
    <row r="16">
      <c r="A16" s="1" t="inlineStr">
        <is>
          <t>C144</t>
        </is>
      </c>
      <c r="B16" s="1" t="n">
        <v>91.8977</v>
      </c>
      <c r="C16" s="1" t="n">
        <v>67.176</v>
      </c>
      <c r="D16" s="1" t="n">
        <v>90</v>
      </c>
      <c r="E16" s="1" t="n">
        <v>1110132</v>
      </c>
      <c r="F16" s="1" t="inlineStr">
        <is>
          <t>Capacitor,X7R,1N,50V,10%,0603(1608)</t>
        </is>
      </c>
    </row>
    <row r="17">
      <c r="A17" s="1" t="inlineStr">
        <is>
          <t>C146</t>
        </is>
      </c>
      <c r="B17" s="1" t="n">
        <v>105.5477</v>
      </c>
      <c r="C17" s="1" t="n">
        <v>81.45099999999999</v>
      </c>
      <c r="D17" s="1" t="n">
        <v>270</v>
      </c>
      <c r="E17" s="1" t="n">
        <v>1110109</v>
      </c>
      <c r="F17" s="1" t="inlineStr">
        <is>
          <t>Capacitor,NP0,68P,50V,5%,0603(1608)</t>
        </is>
      </c>
    </row>
    <row r="18">
      <c r="A18" s="1" t="inlineStr">
        <is>
          <t>C147</t>
        </is>
      </c>
      <c r="B18" s="1" t="n">
        <v>105.5477</v>
      </c>
      <c r="C18" s="1" t="n">
        <v>84.101</v>
      </c>
      <c r="D18" s="1" t="n">
        <v>270</v>
      </c>
      <c r="E18" s="1" t="n">
        <v>1110109</v>
      </c>
      <c r="F18" s="1" t="inlineStr">
        <is>
          <t>Capacitor,NP0,68P,50V,5%,0603(1608)</t>
        </is>
      </c>
    </row>
    <row r="19">
      <c r="A19" s="1" t="inlineStr">
        <is>
          <t>C148</t>
        </is>
      </c>
      <c r="B19" s="1" t="n">
        <v>105.5477</v>
      </c>
      <c r="C19" s="1" t="n">
        <v>86.751</v>
      </c>
      <c r="D19" s="1" t="n">
        <v>270</v>
      </c>
      <c r="E19" s="1" t="n">
        <v>1110109</v>
      </c>
      <c r="F19" s="1" t="inlineStr">
        <is>
          <t>Capacitor,NP0,68P,50V,5%,0603(1608)</t>
        </is>
      </c>
    </row>
    <row r="20">
      <c r="A20" s="1" t="inlineStr">
        <is>
          <t>C149</t>
        </is>
      </c>
      <c r="B20" s="1" t="n">
        <v>105.5477</v>
      </c>
      <c r="C20" s="1" t="n">
        <v>89.401</v>
      </c>
      <c r="D20" s="1" t="n">
        <v>270</v>
      </c>
      <c r="E20" s="1" t="n">
        <v>1110109</v>
      </c>
      <c r="F20" s="1" t="inlineStr">
        <is>
          <t>Capacitor,NP0,68P,50V,5%,0603(1608)</t>
        </is>
      </c>
    </row>
    <row r="21">
      <c r="A21" s="1" t="inlineStr">
        <is>
          <t>C150</t>
        </is>
      </c>
      <c r="B21" s="1" t="n">
        <v>99.29770000000001</v>
      </c>
      <c r="C21" s="1" t="n">
        <v>67.026</v>
      </c>
      <c r="D21" s="1" t="n">
        <v>90</v>
      </c>
      <c r="E21" s="1" t="n">
        <v>1110101</v>
      </c>
      <c r="F21" s="1" t="inlineStr">
        <is>
          <t>Capacitor,X7R,47N,50V,10%,0603(1608)</t>
        </is>
      </c>
    </row>
    <row r="22">
      <c r="A22" s="1" t="inlineStr">
        <is>
          <t>C151</t>
        </is>
      </c>
      <c r="B22" s="1" t="n">
        <v>120.8727</v>
      </c>
      <c r="C22" s="1" t="n">
        <v>80.251</v>
      </c>
      <c r="D22" s="1" t="n">
        <v>360</v>
      </c>
      <c r="E22" s="1" t="n">
        <v>1102015</v>
      </c>
      <c r="F22" s="1" t="inlineStr">
        <is>
          <t>Capacitor,X7R,4.7U,16V,10%,1206(3216)</t>
        </is>
      </c>
    </row>
    <row r="23">
      <c r="A23" s="1" t="inlineStr">
        <is>
          <t>C152</t>
        </is>
      </c>
      <c r="B23" s="1" t="n">
        <v>120.8727</v>
      </c>
      <c r="C23" s="1" t="n">
        <v>84.03740000000001</v>
      </c>
      <c r="D23" s="1" t="n">
        <v>360</v>
      </c>
      <c r="E23" s="1" t="n">
        <v>1102015</v>
      </c>
      <c r="F23" s="1" t="inlineStr">
        <is>
          <t>Capacitor,X7R,4.7U,16V,10%,1206(3216)</t>
        </is>
      </c>
    </row>
    <row r="24">
      <c r="A24" s="1" t="inlineStr">
        <is>
          <t>C153</t>
        </is>
      </c>
      <c r="B24" s="1" t="n">
        <v>120.1727</v>
      </c>
      <c r="C24" s="1" t="n">
        <v>77.57599999999999</v>
      </c>
      <c r="D24" s="1" t="n">
        <v>360</v>
      </c>
      <c r="E24" s="1" t="n">
        <v>1110135</v>
      </c>
      <c r="F24" s="1" t="inlineStr">
        <is>
          <t>Capacitor,X7R,1U,16V,10%,0603(1608)</t>
        </is>
      </c>
    </row>
    <row r="25">
      <c r="A25" s="1" t="inlineStr">
        <is>
          <t>C154</t>
        </is>
      </c>
      <c r="B25" s="1" t="n">
        <v>101.5727</v>
      </c>
      <c r="C25" s="1" t="n">
        <v>89.70099999999999</v>
      </c>
      <c r="D25" s="1" t="n">
        <v>180</v>
      </c>
      <c r="E25" s="1" t="n">
        <v>1110095</v>
      </c>
      <c r="F25" s="1" t="inlineStr">
        <is>
          <t>Capacitor,X7R,100N,50V,10%,0603(1608)</t>
        </is>
      </c>
    </row>
    <row r="26">
      <c r="A26" s="1" t="inlineStr">
        <is>
          <t>C155</t>
        </is>
      </c>
      <c r="B26" s="1" t="n">
        <v>101.5727</v>
      </c>
      <c r="C26" s="1" t="n">
        <v>91.251</v>
      </c>
      <c r="D26" s="1" t="n">
        <v>180</v>
      </c>
      <c r="E26" s="1" t="n">
        <v>1110095</v>
      </c>
      <c r="F26" s="1" t="inlineStr">
        <is>
          <t>Capacitor,X7R,100N,50V,10%,0603(1608)</t>
        </is>
      </c>
    </row>
    <row r="27">
      <c r="A27" s="1" t="inlineStr">
        <is>
          <t>C156</t>
        </is>
      </c>
      <c r="B27" s="1" t="n">
        <v>98.92270000000001</v>
      </c>
      <c r="C27" s="1" t="n">
        <v>91.251</v>
      </c>
      <c r="D27" s="1" t="n">
        <v>360</v>
      </c>
      <c r="E27" s="1" t="n">
        <v>1110135</v>
      </c>
      <c r="F27" s="1" t="inlineStr">
        <is>
          <t>Capacitor,X7R,1U,16V,10%,0603(1608)</t>
        </is>
      </c>
    </row>
    <row r="28">
      <c r="A28" s="1" t="inlineStr">
        <is>
          <t>C157</t>
        </is>
      </c>
      <c r="B28" s="1" t="n">
        <v>98.92270000000001</v>
      </c>
      <c r="C28" s="1" t="n">
        <v>89.70099999999999</v>
      </c>
      <c r="D28" s="1" t="n">
        <v>360</v>
      </c>
      <c r="E28" s="1" t="n">
        <v>1110095</v>
      </c>
      <c r="F28" s="1" t="inlineStr">
        <is>
          <t>Capacitor,X7R,100N,50V,10%,0603(1608)</t>
        </is>
      </c>
    </row>
    <row r="29">
      <c r="A29" s="1" t="inlineStr">
        <is>
          <t>C158</t>
        </is>
      </c>
      <c r="B29" s="1" t="n">
        <v>116.9977</v>
      </c>
      <c r="C29" s="1" t="n">
        <v>91.9008</v>
      </c>
      <c r="D29" s="1" t="n">
        <v>360</v>
      </c>
      <c r="E29" s="1" t="n">
        <v>1110032</v>
      </c>
      <c r="F29" s="1" t="inlineStr">
        <is>
          <t>Capacitor,Electrolytic,100U,16V,20%,85°C,-40°C,D6.3 x L&lt;7</t>
        </is>
      </c>
    </row>
    <row r="30">
      <c r="A30" s="1" t="inlineStr">
        <is>
          <t>C159</t>
        </is>
      </c>
      <c r="B30" s="1" t="n">
        <v>105.5477</v>
      </c>
      <c r="C30" s="1" t="n">
        <v>77.82599999999999</v>
      </c>
      <c r="D30" s="1" t="n">
        <v>270</v>
      </c>
      <c r="E30" s="1" t="n">
        <v>1110132</v>
      </c>
      <c r="F30" s="1" t="inlineStr">
        <is>
          <t>Capacitor,X7R,1N,50V,10%,0603(1608)</t>
        </is>
      </c>
    </row>
    <row r="31">
      <c r="A31" s="1" t="inlineStr">
        <is>
          <t>C160</t>
        </is>
      </c>
      <c r="B31" s="1" t="n">
        <v>94.79770000000001</v>
      </c>
      <c r="C31" s="1" t="n">
        <v>77.651</v>
      </c>
      <c r="D31" s="1" t="n">
        <v>360</v>
      </c>
      <c r="E31" s="1" t="n">
        <v>1110118</v>
      </c>
      <c r="F31" s="1" t="inlineStr">
        <is>
          <t>Capacitor,X7R,100N,50V,10%,0402(1005)</t>
        </is>
      </c>
    </row>
    <row r="32">
      <c r="A32" s="1" t="inlineStr">
        <is>
          <t>C163</t>
        </is>
      </c>
      <c r="B32" s="1" t="n">
        <v>91.99769999999999</v>
      </c>
      <c r="C32" s="1" t="n">
        <v>149.376</v>
      </c>
      <c r="D32" s="1" t="n">
        <v>270</v>
      </c>
      <c r="E32" s="1" t="n">
        <v>1110101</v>
      </c>
      <c r="F32" s="1" t="inlineStr">
        <is>
          <t>Capacitor,X7R,47N,50V,10%,0603(1608)</t>
        </is>
      </c>
    </row>
    <row r="33">
      <c r="A33" s="1" t="inlineStr">
        <is>
          <t>C165</t>
        </is>
      </c>
      <c r="B33" s="1" t="n">
        <v>33.2977</v>
      </c>
      <c r="C33" s="1" t="n">
        <v>60.5485</v>
      </c>
      <c r="D33" s="1" t="n">
        <v>270</v>
      </c>
      <c r="E33" s="1" t="n">
        <v>1110101</v>
      </c>
      <c r="F33" s="1" t="inlineStr">
        <is>
          <t>Capacitor,X7R,47N,50V,10%,0603(1608)</t>
        </is>
      </c>
    </row>
    <row r="34">
      <c r="A34" s="1" t="inlineStr">
        <is>
          <t>C166</t>
        </is>
      </c>
      <c r="B34" s="1" t="n">
        <v>21.4477</v>
      </c>
      <c r="C34" s="1" t="n">
        <v>60.576</v>
      </c>
      <c r="D34" s="1" t="n">
        <v>270</v>
      </c>
      <c r="E34" s="1" t="n">
        <v>1110101</v>
      </c>
      <c r="F34" s="1" t="inlineStr">
        <is>
          <t>Capacitor,X7R,47N,50V,10%,0603(1608)</t>
        </is>
      </c>
    </row>
    <row r="35">
      <c r="A35" s="1" t="inlineStr">
        <is>
          <t>C167</t>
        </is>
      </c>
      <c r="B35" s="1" t="n">
        <v>87.0977</v>
      </c>
      <c r="C35" s="1" t="n">
        <v>149.376</v>
      </c>
      <c r="D35" s="1" t="n">
        <v>270</v>
      </c>
      <c r="E35" s="1" t="n">
        <v>1110101</v>
      </c>
      <c r="F35" s="1" t="inlineStr">
        <is>
          <t>Capacitor,X7R,47N,50V,10%,0603(1608)</t>
        </is>
      </c>
    </row>
    <row r="36">
      <c r="A36" s="1" t="inlineStr">
        <is>
          <t>C169</t>
        </is>
      </c>
      <c r="B36" s="1" t="n">
        <v>102.6477</v>
      </c>
      <c r="C36" s="1" t="n">
        <v>33.976</v>
      </c>
      <c r="D36" s="1" t="n">
        <v>90</v>
      </c>
      <c r="E36" s="1" t="n">
        <v>1110101</v>
      </c>
      <c r="F36" s="1" t="inlineStr">
        <is>
          <t>Capacitor,X7R,47N,50V,10%,0603(1608)</t>
        </is>
      </c>
    </row>
    <row r="37">
      <c r="A37" s="1" t="inlineStr">
        <is>
          <t>C170</t>
        </is>
      </c>
      <c r="B37" s="1" t="n">
        <v>26.2477</v>
      </c>
      <c r="C37" s="1" t="n">
        <v>60.576</v>
      </c>
      <c r="D37" s="1" t="n">
        <v>270</v>
      </c>
      <c r="E37" s="1" t="n">
        <v>1110101</v>
      </c>
      <c r="F37" s="1" t="inlineStr">
        <is>
          <t>Capacitor,X7R,47N,50V,10%,0603(1608)</t>
        </is>
      </c>
    </row>
    <row r="38">
      <c r="A38" s="1" t="inlineStr">
        <is>
          <t>C173</t>
        </is>
      </c>
      <c r="B38" s="1" t="n">
        <v>97.79770000000001</v>
      </c>
      <c r="C38" s="1" t="n">
        <v>33.926</v>
      </c>
      <c r="D38" s="1" t="n">
        <v>90</v>
      </c>
      <c r="E38" s="1" t="n">
        <v>1110101</v>
      </c>
      <c r="F38" s="1" t="inlineStr">
        <is>
          <t>Capacitor,X7R,47N,50V,10%,0603(1608)</t>
        </is>
      </c>
    </row>
    <row r="39">
      <c r="A39" s="1" t="inlineStr">
        <is>
          <t>C174</t>
        </is>
      </c>
      <c r="B39" s="1" t="n">
        <v>19.2477</v>
      </c>
      <c r="C39" s="1" t="n">
        <v>60.576</v>
      </c>
      <c r="D39" s="1" t="n">
        <v>270</v>
      </c>
      <c r="E39" s="1" t="n">
        <v>1110101</v>
      </c>
      <c r="F39" s="1" t="inlineStr">
        <is>
          <t>Capacitor,X7R,47N,50V,10%,0603(1608)</t>
        </is>
      </c>
    </row>
    <row r="40">
      <c r="A40" s="1" t="inlineStr">
        <is>
          <t>C177</t>
        </is>
      </c>
      <c r="B40" s="1" t="n">
        <v>42.4977</v>
      </c>
      <c r="C40" s="1" t="n">
        <v>60.5485</v>
      </c>
      <c r="D40" s="1" t="n">
        <v>270</v>
      </c>
      <c r="E40" s="1" t="n">
        <v>1110101</v>
      </c>
      <c r="F40" s="1" t="inlineStr">
        <is>
          <t>Capacitor,X7R,47N,50V,10%,0603(1608)</t>
        </is>
      </c>
    </row>
    <row r="41">
      <c r="A41" s="1" t="inlineStr">
        <is>
          <t>C178</t>
        </is>
      </c>
      <c r="B41" s="1" t="n">
        <v>28.4477</v>
      </c>
      <c r="C41" s="1" t="n">
        <v>60.576</v>
      </c>
      <c r="D41" s="1" t="n">
        <v>270</v>
      </c>
      <c r="E41" s="1" t="n">
        <v>1110101</v>
      </c>
      <c r="F41" s="1" t="inlineStr">
        <is>
          <t>Capacitor,X7R,47N,50V,10%,0603(1608)</t>
        </is>
      </c>
    </row>
    <row r="42">
      <c r="A42" s="1" t="inlineStr">
        <is>
          <t>C179</t>
        </is>
      </c>
      <c r="B42" s="1" t="n">
        <v>35.4477</v>
      </c>
      <c r="C42" s="1" t="n">
        <v>60.5485</v>
      </c>
      <c r="D42" s="1" t="n">
        <v>270</v>
      </c>
      <c r="E42" s="1" t="n">
        <v>1110101</v>
      </c>
      <c r="F42" s="1" t="inlineStr">
        <is>
          <t>Capacitor,X7R,47N,50V,10%,0603(1608)</t>
        </is>
      </c>
    </row>
    <row r="43">
      <c r="A43" s="1" t="inlineStr">
        <is>
          <t>C180</t>
        </is>
      </c>
      <c r="B43" s="1" t="n">
        <v>40.3477</v>
      </c>
      <c r="C43" s="1" t="n">
        <v>60.5485</v>
      </c>
      <c r="D43" s="1" t="n">
        <v>270</v>
      </c>
      <c r="E43" s="1" t="n">
        <v>1110101</v>
      </c>
      <c r="F43" s="1" t="inlineStr">
        <is>
          <t>Capacitor,X7R,47N,50V,10%,0603(1608)</t>
        </is>
      </c>
    </row>
    <row r="44">
      <c r="A44" s="1" t="inlineStr">
        <is>
          <t>C185</t>
        </is>
      </c>
      <c r="B44" s="1" t="n">
        <v>12.1477</v>
      </c>
      <c r="C44" s="1" t="n">
        <v>60.576</v>
      </c>
      <c r="D44" s="1" t="n">
        <v>270</v>
      </c>
      <c r="E44" s="1" t="n">
        <v>1110101</v>
      </c>
      <c r="F44" s="1" t="inlineStr">
        <is>
          <t>Capacitor,X7R,47N,50V,10%,0603(1608)</t>
        </is>
      </c>
    </row>
    <row r="45">
      <c r="A45" s="1" t="inlineStr">
        <is>
          <t>C188</t>
        </is>
      </c>
      <c r="B45" s="1" t="n">
        <v>92.17270000000001</v>
      </c>
      <c r="C45" s="1" t="n">
        <v>111.626</v>
      </c>
      <c r="D45" s="1" t="n">
        <v>180</v>
      </c>
      <c r="E45" s="1" t="n">
        <v>1110101</v>
      </c>
      <c r="F45" s="1" t="inlineStr">
        <is>
          <t>Capacitor,X7R,47N,50V,10%,0603(1608)</t>
        </is>
      </c>
    </row>
    <row r="46">
      <c r="A46" s="1" t="inlineStr">
        <is>
          <t>C189</t>
        </is>
      </c>
      <c r="B46" s="1" t="n">
        <v>98.5227</v>
      </c>
      <c r="C46" s="1" t="n">
        <v>111.626</v>
      </c>
      <c r="D46" s="1" t="n">
        <v>360</v>
      </c>
      <c r="E46" s="1" t="n">
        <v>1110101</v>
      </c>
      <c r="F46" s="1" t="inlineStr">
        <is>
          <t>Capacitor,X7R,47N,50V,10%,0603(1608)</t>
        </is>
      </c>
    </row>
    <row r="47">
      <c r="A47" s="1" t="inlineStr">
        <is>
          <t>C190</t>
        </is>
      </c>
      <c r="B47" s="1" t="n">
        <v>91.92270000000001</v>
      </c>
      <c r="C47" s="1" t="n">
        <v>108.176</v>
      </c>
      <c r="D47" s="1" t="n">
        <v>90</v>
      </c>
      <c r="E47" s="1" t="n">
        <v>1110095</v>
      </c>
      <c r="F47" s="1" t="inlineStr">
        <is>
          <t>Capacitor,X7R,100N,50V,10%,0603(1608)</t>
        </is>
      </c>
    </row>
    <row r="48">
      <c r="A48" s="1" t="inlineStr">
        <is>
          <t>C191</t>
        </is>
      </c>
      <c r="B48" s="1" t="n">
        <v>80.9727</v>
      </c>
      <c r="C48" s="1" t="n">
        <v>111.626</v>
      </c>
      <c r="D48" s="1" t="n">
        <v>180</v>
      </c>
      <c r="E48" s="1" t="n">
        <v>1110101</v>
      </c>
      <c r="F48" s="1" t="inlineStr">
        <is>
          <t>Capacitor,X7R,47N,50V,10%,0603(1608)</t>
        </is>
      </c>
    </row>
    <row r="49">
      <c r="A49" s="1" t="inlineStr">
        <is>
          <t>C192</t>
        </is>
      </c>
      <c r="B49" s="1" t="n">
        <v>87.12269999999999</v>
      </c>
      <c r="C49" s="1" t="n">
        <v>111.626</v>
      </c>
      <c r="D49" s="1" t="n">
        <v>360</v>
      </c>
      <c r="E49" s="1" t="n">
        <v>1110101</v>
      </c>
      <c r="F49" s="1" t="inlineStr">
        <is>
          <t>Capacitor,X7R,47N,50V,10%,0603(1608)</t>
        </is>
      </c>
    </row>
    <row r="50">
      <c r="A50" s="1" t="inlineStr">
        <is>
          <t>C193</t>
        </is>
      </c>
      <c r="B50" s="1" t="n">
        <v>80.74769999999999</v>
      </c>
      <c r="C50" s="1" t="n">
        <v>108.176</v>
      </c>
      <c r="D50" s="1" t="n">
        <v>90</v>
      </c>
      <c r="E50" s="1" t="n">
        <v>1110095</v>
      </c>
      <c r="F50" s="1" t="inlineStr">
        <is>
          <t>Capacitor,X7R,100N,50V,10%,0603(1608)</t>
        </is>
      </c>
    </row>
    <row r="51">
      <c r="A51" s="1" t="inlineStr">
        <is>
          <t>C194</t>
        </is>
      </c>
      <c r="B51" s="1" t="n">
        <v>103.3477</v>
      </c>
      <c r="C51" s="1" t="n">
        <v>111.626</v>
      </c>
      <c r="D51" s="1" t="n">
        <v>180</v>
      </c>
      <c r="E51" s="1" t="n">
        <v>1110101</v>
      </c>
      <c r="F51" s="1" t="inlineStr">
        <is>
          <t>Capacitor,X7R,47N,50V,10%,0603(1608)</t>
        </is>
      </c>
    </row>
    <row r="52">
      <c r="A52" s="1" t="inlineStr">
        <is>
          <t>C195</t>
        </is>
      </c>
      <c r="B52" s="1" t="n">
        <v>109.7477</v>
      </c>
      <c r="C52" s="1" t="n">
        <v>111.626</v>
      </c>
      <c r="D52" s="1" t="n">
        <v>360</v>
      </c>
      <c r="E52" s="1" t="n">
        <v>1110101</v>
      </c>
      <c r="F52" s="1" t="inlineStr">
        <is>
          <t>Capacitor,X7R,47N,50V,10%,0603(1608)</t>
        </is>
      </c>
    </row>
    <row r="53">
      <c r="A53" s="1" t="inlineStr">
        <is>
          <t>C196</t>
        </is>
      </c>
      <c r="B53" s="1" t="n">
        <v>110.0727</v>
      </c>
      <c r="C53" s="1" t="n">
        <v>108.176</v>
      </c>
      <c r="D53" s="1" t="n">
        <v>90</v>
      </c>
      <c r="E53" s="1" t="n">
        <v>1110095</v>
      </c>
      <c r="F53" s="1" t="inlineStr">
        <is>
          <t>Capacitor,X7R,100N,50V,10%,0603(1608)</t>
        </is>
      </c>
    </row>
    <row r="54">
      <c r="A54" s="1" t="inlineStr">
        <is>
          <t>C197</t>
        </is>
      </c>
      <c r="B54" s="1" t="n">
        <v>77.0227</v>
      </c>
      <c r="C54" s="1" t="n">
        <v>145.201</v>
      </c>
      <c r="D54" s="1" t="n">
        <v>180</v>
      </c>
      <c r="E54" s="1" t="n">
        <v>1110095</v>
      </c>
      <c r="F54" s="1" t="inlineStr">
        <is>
          <t>Capacitor,X7R,100N,50V,10%,0603(1608)</t>
        </is>
      </c>
    </row>
    <row r="55">
      <c r="A55" s="1" t="inlineStr">
        <is>
          <t>C198</t>
        </is>
      </c>
      <c r="B55" s="1" t="n">
        <v>112.5727</v>
      </c>
      <c r="C55" s="1" t="n">
        <v>104.076</v>
      </c>
      <c r="D55" s="1" t="n">
        <v>270</v>
      </c>
      <c r="E55" s="1" t="n">
        <v>1110095</v>
      </c>
      <c r="F55" s="1" t="inlineStr">
        <is>
          <t>Capacitor,X7R,100N,50V,10%,0603(1608)</t>
        </is>
      </c>
    </row>
    <row r="56">
      <c r="A56" s="1" t="inlineStr">
        <is>
          <t>C202</t>
        </is>
      </c>
      <c r="B56" s="1" t="n">
        <v>73.49769999999999</v>
      </c>
      <c r="C56" s="1" t="n">
        <v>145.276</v>
      </c>
      <c r="D56" s="1" t="n">
        <v>270</v>
      </c>
      <c r="E56" s="1" t="n">
        <v>1110095</v>
      </c>
      <c r="F56" s="1" t="inlineStr">
        <is>
          <t>Capacitor,X7R,100N,50V,10%,0603(1608)</t>
        </is>
      </c>
    </row>
    <row r="57">
      <c r="A57" s="1" t="inlineStr">
        <is>
          <t>C203</t>
        </is>
      </c>
      <c r="B57" s="1" t="n">
        <v>111.8977</v>
      </c>
      <c r="C57" s="1" t="n">
        <v>100.551</v>
      </c>
      <c r="D57" s="1" t="n">
        <v>180</v>
      </c>
      <c r="E57" s="1" t="n">
        <v>1110095</v>
      </c>
      <c r="F57" s="1" t="inlineStr">
        <is>
          <t>Capacitor,X7R,100N,50V,10%,0603(1608)</t>
        </is>
      </c>
    </row>
    <row r="58">
      <c r="A58" s="1" t="inlineStr">
        <is>
          <t>C213</t>
        </is>
      </c>
      <c r="B58" s="1" t="n">
        <v>82.0227</v>
      </c>
      <c r="C58" s="1" t="n">
        <v>51.401</v>
      </c>
      <c r="D58" s="1" t="n">
        <v>360</v>
      </c>
      <c r="E58" s="1" t="n">
        <v>1110109</v>
      </c>
      <c r="F58" s="1" t="inlineStr">
        <is>
          <t>Capacitor,NP0,68P,50V,5%,0603(1608)</t>
        </is>
      </c>
    </row>
    <row r="59">
      <c r="A59" s="1" t="inlineStr">
        <is>
          <t>C214</t>
        </is>
      </c>
      <c r="B59" s="1" t="n">
        <v>82.0227</v>
      </c>
      <c r="C59" s="1" t="n">
        <v>46.501</v>
      </c>
      <c r="D59" s="1" t="n">
        <v>180</v>
      </c>
      <c r="E59" s="1" t="n">
        <v>1110109</v>
      </c>
      <c r="F59" s="1" t="inlineStr">
        <is>
          <t>Capacitor,NP0,68P,50V,5%,0603(1608)</t>
        </is>
      </c>
    </row>
    <row r="60">
      <c r="A60" s="1" t="inlineStr">
        <is>
          <t>C222</t>
        </is>
      </c>
      <c r="B60" s="1" t="n">
        <v>66.56699999999999</v>
      </c>
      <c r="C60" s="1" t="n">
        <v>115.8117</v>
      </c>
      <c r="D60" s="1" t="n">
        <v>90</v>
      </c>
      <c r="E60" s="1" t="n">
        <v>1110095</v>
      </c>
      <c r="F60" s="1" t="inlineStr">
        <is>
          <t>Capacitor,X7R,100N,50V,10%,0603(1608)</t>
        </is>
      </c>
    </row>
    <row r="61">
      <c r="A61" s="1" t="inlineStr">
        <is>
          <t>C223</t>
        </is>
      </c>
      <c r="B61" s="1" t="n">
        <v>5.5977</v>
      </c>
      <c r="C61" s="1" t="n">
        <v>147.826</v>
      </c>
      <c r="D61" s="1" t="n">
        <v>270</v>
      </c>
      <c r="E61" s="1" t="n">
        <v>1110095</v>
      </c>
      <c r="F61" s="1" t="inlineStr">
        <is>
          <t>Capacitor,X7R,100N,50V,10%,0603(1608)</t>
        </is>
      </c>
    </row>
    <row r="62">
      <c r="A62" s="1" t="inlineStr">
        <is>
          <t>C227</t>
        </is>
      </c>
      <c r="B62" s="1" t="n">
        <v>125.2977</v>
      </c>
      <c r="C62" s="1" t="n">
        <v>150.651</v>
      </c>
      <c r="D62" s="1" t="n">
        <v>180</v>
      </c>
      <c r="E62" s="1" t="n">
        <v>1110569</v>
      </c>
      <c r="F62" s="1" t="inlineStr">
        <is>
          <t>Capacitor,X7R,10N,50V,10%,0402(1005)</t>
        </is>
      </c>
    </row>
    <row r="63">
      <c r="A63" s="1" t="inlineStr">
        <is>
          <t>C228</t>
        </is>
      </c>
      <c r="B63" s="1" t="n">
        <v>125.4727</v>
      </c>
      <c r="C63" s="1" t="n">
        <v>138.151</v>
      </c>
      <c r="D63" s="1" t="n">
        <v>360</v>
      </c>
      <c r="E63" s="1" t="n">
        <v>1110101</v>
      </c>
      <c r="F63" s="1" t="inlineStr">
        <is>
          <t>Capacitor,X7R,47N,50V,10%,0603(1608)</t>
        </is>
      </c>
    </row>
    <row r="64">
      <c r="A64" s="1" t="inlineStr">
        <is>
          <t>C248</t>
        </is>
      </c>
      <c r="B64" s="1" t="n">
        <v>102.4977</v>
      </c>
      <c r="C64" s="1" t="n">
        <v>67.026</v>
      </c>
      <c r="D64" s="1" t="n">
        <v>90</v>
      </c>
      <c r="E64" s="1" t="n">
        <v>1110101</v>
      </c>
      <c r="F64" s="1" t="inlineStr">
        <is>
          <t>Capacitor,X7R,47N,50V,10%,0603(1608)</t>
        </is>
      </c>
    </row>
    <row r="65">
      <c r="A65" s="1" t="inlineStr">
        <is>
          <t>C249</t>
        </is>
      </c>
      <c r="B65" s="1" t="n">
        <v>100.3477</v>
      </c>
      <c r="C65" s="1" t="n">
        <v>75.051</v>
      </c>
      <c r="D65" s="1" t="n">
        <v>180</v>
      </c>
      <c r="E65" s="1" t="n">
        <v>1110569</v>
      </c>
      <c r="F65" s="1" t="inlineStr">
        <is>
          <t>Capacitor,X7R,10N,50V,10%,0402(1005)</t>
        </is>
      </c>
    </row>
    <row r="66">
      <c r="A66" s="1" t="inlineStr">
        <is>
          <t>C262</t>
        </is>
      </c>
      <c r="B66" s="1" t="n">
        <v>23.3727</v>
      </c>
      <c r="C66" s="1" t="n">
        <v>114.801</v>
      </c>
      <c r="D66" s="1" t="n">
        <v>180</v>
      </c>
      <c r="E66" s="1" t="n">
        <v>1110101</v>
      </c>
      <c r="F66" s="1" t="inlineStr">
        <is>
          <t>Capacitor,X7R,47N,50V,10%,0603(1608)</t>
        </is>
      </c>
    </row>
    <row r="67">
      <c r="A67" s="1" t="inlineStr">
        <is>
          <t>C263</t>
        </is>
      </c>
      <c r="B67" s="1" t="n">
        <v>23.5147</v>
      </c>
      <c r="C67" s="1" t="n">
        <v>105.826</v>
      </c>
      <c r="D67" s="1" t="n">
        <v>360</v>
      </c>
      <c r="E67" s="1" t="n">
        <v>1110569</v>
      </c>
      <c r="F67" s="1" t="inlineStr">
        <is>
          <t>Capacitor,X7R,10N,50V,10%,0402(1005)</t>
        </is>
      </c>
    </row>
    <row r="68">
      <c r="A68" s="1" t="inlineStr">
        <is>
          <t>C266</t>
        </is>
      </c>
      <c r="B68" s="1" t="n">
        <v>37.7227</v>
      </c>
      <c r="C68" s="1" t="n">
        <v>114.751</v>
      </c>
      <c r="D68" s="1" t="n">
        <v>360</v>
      </c>
      <c r="E68" s="1" t="n">
        <v>1110101</v>
      </c>
      <c r="F68" s="1" t="inlineStr">
        <is>
          <t>Capacitor,X7R,47N,50V,10%,0603(1608)</t>
        </is>
      </c>
    </row>
    <row r="69">
      <c r="A69" s="1" t="inlineStr">
        <is>
          <t>C267</t>
        </is>
      </c>
      <c r="B69" s="1" t="n">
        <v>37.9477</v>
      </c>
      <c r="C69" s="1" t="n">
        <v>108.301</v>
      </c>
      <c r="D69" s="1" t="n">
        <v>180</v>
      </c>
      <c r="E69" s="1" t="n">
        <v>1110569</v>
      </c>
      <c r="F69" s="1" t="inlineStr">
        <is>
          <t>Capacitor,X7R,10N,50V,10%,0402(1005)</t>
        </is>
      </c>
    </row>
    <row r="70">
      <c r="A70" s="1" t="inlineStr">
        <is>
          <t>C268</t>
        </is>
      </c>
      <c r="B70" s="1" t="n">
        <v>35.0727</v>
      </c>
      <c r="C70" s="1" t="n">
        <v>114.751</v>
      </c>
      <c r="D70" s="1" t="n">
        <v>180</v>
      </c>
      <c r="E70" s="1" t="n">
        <v>1110101</v>
      </c>
      <c r="F70" s="1" t="inlineStr">
        <is>
          <t>Capacitor,X7R,47N,50V,10%,0603(1608)</t>
        </is>
      </c>
    </row>
    <row r="71">
      <c r="A71" s="1" t="inlineStr">
        <is>
          <t>C269</t>
        </is>
      </c>
      <c r="B71" s="1" t="n">
        <v>34.8477</v>
      </c>
      <c r="C71" s="1" t="n">
        <v>108.301</v>
      </c>
      <c r="D71" s="1" t="n">
        <v>360</v>
      </c>
      <c r="E71" s="1" t="n">
        <v>1110569</v>
      </c>
      <c r="F71" s="1" t="inlineStr">
        <is>
          <t>Capacitor,X7R,10N,50V,10%,0402(1005)</t>
        </is>
      </c>
    </row>
    <row r="72">
      <c r="A72" s="1" t="inlineStr">
        <is>
          <t>C270</t>
        </is>
      </c>
      <c r="B72" s="1" t="n">
        <v>18.6227</v>
      </c>
      <c r="C72" s="1" t="n">
        <v>114.801</v>
      </c>
      <c r="D72" s="1" t="n">
        <v>180</v>
      </c>
      <c r="E72" s="1" t="n">
        <v>1110101</v>
      </c>
      <c r="F72" s="1" t="inlineStr">
        <is>
          <t>Capacitor,X7R,47N,50V,10%,0603(1608)</t>
        </is>
      </c>
    </row>
    <row r="73">
      <c r="A73" s="1" t="inlineStr">
        <is>
          <t>C271</t>
        </is>
      </c>
      <c r="B73" s="1" t="n">
        <v>18.7977</v>
      </c>
      <c r="C73" s="1" t="n">
        <v>108.251</v>
      </c>
      <c r="D73" s="1" t="n">
        <v>360</v>
      </c>
      <c r="E73" s="1" t="n">
        <v>1110569</v>
      </c>
      <c r="F73" s="1" t="inlineStr">
        <is>
          <t>Capacitor,X7R,10N,50V,10%,0402(1005)</t>
        </is>
      </c>
    </row>
    <row r="74">
      <c r="A74" s="1" t="inlineStr">
        <is>
          <t>C277</t>
        </is>
      </c>
      <c r="B74" s="1" t="n">
        <v>43.1977</v>
      </c>
      <c r="C74" s="1" t="n">
        <v>74.8058</v>
      </c>
      <c r="D74" s="1" t="n">
        <v>270</v>
      </c>
      <c r="E74" s="1" t="n">
        <v>1110569</v>
      </c>
      <c r="F74" s="1" t="inlineStr">
        <is>
          <t>Capacitor,X7R,10N,50V,10%,0402(1005)</t>
        </is>
      </c>
    </row>
    <row r="75">
      <c r="A75" s="1" t="inlineStr">
        <is>
          <t>C290</t>
        </is>
      </c>
      <c r="B75" s="1" t="n">
        <v>115.2227</v>
      </c>
      <c r="C75" s="1" t="n">
        <v>66.001</v>
      </c>
      <c r="D75" s="1" t="n">
        <v>180</v>
      </c>
      <c r="E75" s="1" t="n">
        <v>1110101</v>
      </c>
      <c r="F75" s="1" t="inlineStr">
        <is>
          <t>Capacitor,X7R,47N,50V,10%,0603(1608)</t>
        </is>
      </c>
    </row>
    <row r="76">
      <c r="A76" s="1" t="inlineStr">
        <is>
          <t>C291</t>
        </is>
      </c>
      <c r="B76" s="1" t="n">
        <v>111.9477</v>
      </c>
      <c r="C76" s="1" t="n">
        <v>66.85599999999999</v>
      </c>
      <c r="D76" s="1" t="n">
        <v>270</v>
      </c>
      <c r="E76" s="1" t="n">
        <v>1110569</v>
      </c>
      <c r="F76" s="1" t="inlineStr">
        <is>
          <t>Capacitor,X7R,10N,50V,10%,0402(1005)</t>
        </is>
      </c>
    </row>
    <row r="77">
      <c r="A77" s="1" t="inlineStr">
        <is>
          <t>C292</t>
        </is>
      </c>
      <c r="B77" s="1" t="n">
        <v>107.9227</v>
      </c>
      <c r="C77" s="1" t="n">
        <v>66.001</v>
      </c>
      <c r="D77" s="1" t="n">
        <v>180</v>
      </c>
      <c r="E77" s="1" t="n">
        <v>1110101</v>
      </c>
      <c r="F77" s="1" t="inlineStr">
        <is>
          <t>Capacitor,X7R,47N,50V,10%,0603(1608)</t>
        </is>
      </c>
    </row>
    <row r="78">
      <c r="A78" s="1" t="inlineStr">
        <is>
          <t>C293</t>
        </is>
      </c>
      <c r="B78" s="1" t="n">
        <v>104.6727</v>
      </c>
      <c r="C78" s="1" t="n">
        <v>66.85599999999999</v>
      </c>
      <c r="D78" s="1" t="n">
        <v>270</v>
      </c>
      <c r="E78" s="1" t="n">
        <v>1110569</v>
      </c>
      <c r="F78" s="1" t="inlineStr">
        <is>
          <t>Capacitor,X7R,10N,50V,10%,0402(1005)</t>
        </is>
      </c>
    </row>
    <row r="79">
      <c r="A79" s="1" t="inlineStr">
        <is>
          <t>C294</t>
        </is>
      </c>
      <c r="B79" s="1" t="n">
        <v>9.7502</v>
      </c>
      <c r="C79" s="1" t="n">
        <v>27.351</v>
      </c>
      <c r="D79" s="1" t="n">
        <v>180</v>
      </c>
      <c r="E79" s="1" t="n">
        <v>1110101</v>
      </c>
      <c r="F79" s="1" t="inlineStr">
        <is>
          <t>Capacitor,X7R,47N,50V,10%,0603(1608)</t>
        </is>
      </c>
    </row>
    <row r="80">
      <c r="A80" s="1" t="inlineStr">
        <is>
          <t>C296</t>
        </is>
      </c>
      <c r="B80" s="1" t="n">
        <v>19.9727</v>
      </c>
      <c r="C80" s="1" t="n">
        <v>27.351</v>
      </c>
      <c r="D80" s="1" t="n">
        <v>180</v>
      </c>
      <c r="E80" s="1" t="n">
        <v>1110101</v>
      </c>
      <c r="F80" s="1" t="inlineStr">
        <is>
          <t>Capacitor,X7R,47N,50V,10%,0603(1608)</t>
        </is>
      </c>
    </row>
    <row r="81">
      <c r="A81" s="1" t="inlineStr">
        <is>
          <t>C298</t>
        </is>
      </c>
      <c r="B81" s="1" t="n">
        <v>49.3227</v>
      </c>
      <c r="C81" s="1" t="n">
        <v>39.651</v>
      </c>
      <c r="D81" s="1" t="n">
        <v>360</v>
      </c>
      <c r="E81" s="1" t="n">
        <v>1110101</v>
      </c>
      <c r="F81" s="1" t="inlineStr">
        <is>
          <t>Capacitor,X7R,47N,50V,10%,0603(1608)</t>
        </is>
      </c>
    </row>
    <row r="82">
      <c r="A82" s="1" t="inlineStr">
        <is>
          <t>C300</t>
        </is>
      </c>
      <c r="B82" s="1" t="n">
        <v>49.3227</v>
      </c>
      <c r="C82" s="1" t="n">
        <v>41.701</v>
      </c>
      <c r="D82" s="1" t="n">
        <v>360</v>
      </c>
      <c r="E82" s="1" t="n">
        <v>1110101</v>
      </c>
      <c r="F82" s="1" t="inlineStr">
        <is>
          <t>Capacitor,X7R,47N,50V,10%,0603(1608)</t>
        </is>
      </c>
    </row>
    <row r="83">
      <c r="A83" s="1" t="inlineStr">
        <is>
          <t>C301</t>
        </is>
      </c>
      <c r="B83" s="1" t="n">
        <v>43.1977</v>
      </c>
      <c r="C83" s="1" t="n">
        <v>77.72839999999999</v>
      </c>
      <c r="D83" s="1" t="n">
        <v>90</v>
      </c>
      <c r="E83" s="1" t="n">
        <v>1110569</v>
      </c>
      <c r="F83" s="1" t="inlineStr">
        <is>
          <t>Capacitor,X7R,10N,50V,10%,0402(1005)</t>
        </is>
      </c>
    </row>
    <row r="84">
      <c r="A84" s="1" t="inlineStr">
        <is>
          <t>C302</t>
        </is>
      </c>
      <c r="B84" s="1" t="n">
        <v>29.3777</v>
      </c>
      <c r="C84" s="1" t="n">
        <v>27.351</v>
      </c>
      <c r="D84" s="1" t="n">
        <v>180</v>
      </c>
      <c r="E84" s="1" t="n">
        <v>1110101</v>
      </c>
      <c r="F84" s="1" t="inlineStr">
        <is>
          <t>Capacitor,X7R,47N,50V,10%,0603(1608)</t>
        </is>
      </c>
    </row>
    <row r="85">
      <c r="A85" s="1" t="inlineStr">
        <is>
          <t>C304</t>
        </is>
      </c>
      <c r="B85" s="1" t="n">
        <v>24.765</v>
      </c>
      <c r="C85" s="1" t="n">
        <v>27.351</v>
      </c>
      <c r="D85" s="1" t="n">
        <v>180</v>
      </c>
      <c r="E85" s="1" t="n">
        <v>1110101</v>
      </c>
      <c r="F85" s="1" t="inlineStr">
        <is>
          <t>Capacitor,X7R,47N,50V,10%,0603(1608)</t>
        </is>
      </c>
    </row>
    <row r="86">
      <c r="A86" s="1" t="inlineStr">
        <is>
          <t>C306</t>
        </is>
      </c>
      <c r="B86" s="1" t="n">
        <v>15.1727</v>
      </c>
      <c r="C86" s="1" t="n">
        <v>27.351</v>
      </c>
      <c r="D86" s="1" t="n">
        <v>180</v>
      </c>
      <c r="E86" s="1" t="n">
        <v>1110101</v>
      </c>
      <c r="F86" s="1" t="inlineStr">
        <is>
          <t>Capacitor,X7R,47N,50V,10%,0603(1608)</t>
        </is>
      </c>
    </row>
    <row r="87">
      <c r="A87" s="1" t="inlineStr">
        <is>
          <t>C308</t>
        </is>
      </c>
      <c r="B87" s="1" t="n">
        <v>55.4258</v>
      </c>
      <c r="C87" s="1" t="n">
        <v>70.89879999999999</v>
      </c>
      <c r="D87" s="1" t="n">
        <v>360</v>
      </c>
      <c r="E87" s="1" t="n">
        <v>1110118</v>
      </c>
      <c r="F87" s="1" t="inlineStr">
        <is>
          <t>Capacitor,X7R,100N,50V,10%,0402(1005)</t>
        </is>
      </c>
    </row>
    <row r="88">
      <c r="A88" s="1" t="inlineStr">
        <is>
          <t>C309</t>
        </is>
      </c>
      <c r="B88" s="1" t="n">
        <v>71.04770000000001</v>
      </c>
      <c r="C88" s="1" t="n">
        <v>72.95099999999999</v>
      </c>
      <c r="D88" s="1" t="n">
        <v>180</v>
      </c>
      <c r="E88" s="1" t="n">
        <v>1110118</v>
      </c>
      <c r="F88" s="1" t="inlineStr">
        <is>
          <t>Capacitor,X7R,100N,50V,10%,0402(1005)</t>
        </is>
      </c>
    </row>
    <row r="89">
      <c r="A89" s="1" t="inlineStr">
        <is>
          <t>C310</t>
        </is>
      </c>
      <c r="B89" s="1" t="n">
        <v>44.5215</v>
      </c>
      <c r="C89" s="1" t="n">
        <v>77.72839999999999</v>
      </c>
      <c r="D89" s="1" t="n">
        <v>90</v>
      </c>
      <c r="E89" s="1" t="n">
        <v>1110118</v>
      </c>
      <c r="F89" s="1" t="inlineStr">
        <is>
          <t>Capacitor,X7R,100N,50V,10%,0402(1005)</t>
        </is>
      </c>
    </row>
    <row r="90">
      <c r="A90" s="1" t="inlineStr">
        <is>
          <t>C311</t>
        </is>
      </c>
      <c r="B90" s="1" t="n">
        <v>44.5215</v>
      </c>
      <c r="C90" s="1" t="n">
        <v>80.70099999999999</v>
      </c>
      <c r="D90" s="1" t="n">
        <v>90</v>
      </c>
      <c r="E90" s="1" t="n">
        <v>1110118</v>
      </c>
      <c r="F90" s="1" t="inlineStr">
        <is>
          <t>Capacitor,X7R,100N,50V,10%,0402(1005)</t>
        </is>
      </c>
    </row>
    <row r="91">
      <c r="A91" s="1" t="inlineStr">
        <is>
          <t>C312</t>
        </is>
      </c>
      <c r="B91" s="1" t="n">
        <v>43.1977</v>
      </c>
      <c r="C91" s="1" t="n">
        <v>80.70099999999999</v>
      </c>
      <c r="D91" s="1" t="n">
        <v>270</v>
      </c>
      <c r="E91" s="1" t="n">
        <v>1110118</v>
      </c>
      <c r="F91" s="1" t="inlineStr">
        <is>
          <t>Capacitor,X7R,100N,50V,10%,0402(1005)</t>
        </is>
      </c>
    </row>
    <row r="92">
      <c r="A92" s="1" t="inlineStr">
        <is>
          <t>C313</t>
        </is>
      </c>
      <c r="B92" s="1" t="n">
        <v>73.6977</v>
      </c>
      <c r="C92" s="1" t="n">
        <v>92.151</v>
      </c>
      <c r="D92" s="1" t="n">
        <v>180</v>
      </c>
      <c r="E92" s="1" t="n">
        <v>1110118</v>
      </c>
      <c r="F92" s="1" t="inlineStr">
        <is>
          <t>Capacitor,X7R,100N,50V,10%,0402(1005)</t>
        </is>
      </c>
    </row>
    <row r="93">
      <c r="A93" s="1" t="inlineStr">
        <is>
          <t>C314</t>
        </is>
      </c>
      <c r="B93" s="1" t="n">
        <v>77.6477</v>
      </c>
      <c r="C93" s="1" t="n">
        <v>92.70099999999999</v>
      </c>
      <c r="D93" s="1" t="n">
        <v>180</v>
      </c>
      <c r="E93" s="1" t="n">
        <v>1110118</v>
      </c>
      <c r="F93" s="1" t="inlineStr">
        <is>
          <t>Capacitor,X7R,100N,50V,10%,0402(1005)</t>
        </is>
      </c>
    </row>
    <row r="94">
      <c r="A94" s="1" t="inlineStr">
        <is>
          <t>C315</t>
        </is>
      </c>
      <c r="B94" s="1" t="n">
        <v>73.6977</v>
      </c>
      <c r="C94" s="1" t="n">
        <v>90.851</v>
      </c>
      <c r="D94" s="1" t="n">
        <v>360</v>
      </c>
      <c r="E94" s="1" t="n">
        <v>1110131</v>
      </c>
      <c r="F94" s="1" t="inlineStr">
        <is>
          <t>Capacitor,X7R,1N,50V,10%,0402(1005)</t>
        </is>
      </c>
    </row>
    <row r="95">
      <c r="A95" s="1" t="inlineStr">
        <is>
          <t>C316</t>
        </is>
      </c>
      <c r="B95" s="1" t="n">
        <v>45.7477</v>
      </c>
      <c r="C95" s="1" t="n">
        <v>91.001</v>
      </c>
      <c r="D95" s="1" t="n">
        <v>180</v>
      </c>
      <c r="E95" s="1" t="n">
        <v>1110118</v>
      </c>
      <c r="F95" s="1" t="inlineStr">
        <is>
          <t>Capacitor,X7R,100N,50V,10%,0402(1005)</t>
        </is>
      </c>
    </row>
    <row r="96">
      <c r="A96" s="1" t="inlineStr">
        <is>
          <t>C317</t>
        </is>
      </c>
      <c r="B96" s="1" t="n">
        <v>79.99769999999999</v>
      </c>
      <c r="C96" s="1" t="n">
        <v>99.0675</v>
      </c>
      <c r="D96" s="1" t="n">
        <v>270</v>
      </c>
      <c r="E96" s="1" t="n">
        <v>1102015</v>
      </c>
      <c r="F96" s="1" t="inlineStr">
        <is>
          <t>Capacitor,X7R,4.7U,16V,10%,1206(3216)</t>
        </is>
      </c>
    </row>
    <row r="97">
      <c r="A97" s="1" t="inlineStr">
        <is>
          <t>C318</t>
        </is>
      </c>
      <c r="B97" s="1" t="n">
        <v>73.6977</v>
      </c>
      <c r="C97" s="1" t="n">
        <v>94.751</v>
      </c>
      <c r="D97" s="1" t="n">
        <v>180</v>
      </c>
      <c r="E97" s="1" t="n">
        <v>1110118</v>
      </c>
      <c r="F97" s="1" t="inlineStr">
        <is>
          <t>Capacitor,X7R,100N,50V,10%,0402(1005)</t>
        </is>
      </c>
    </row>
    <row r="98">
      <c r="A98" s="1" t="inlineStr">
        <is>
          <t>C319</t>
        </is>
      </c>
      <c r="B98" s="1" t="n">
        <v>73.6977</v>
      </c>
      <c r="C98" s="1" t="n">
        <v>93.45099999999999</v>
      </c>
      <c r="D98" s="1" t="n">
        <v>180</v>
      </c>
      <c r="E98" s="1" t="n">
        <v>1110118</v>
      </c>
      <c r="F98" s="1" t="inlineStr">
        <is>
          <t>Capacitor,X7R,100N,50V,10%,0402(1005)</t>
        </is>
      </c>
    </row>
    <row r="99">
      <c r="A99" s="1" t="inlineStr">
        <is>
          <t>C320</t>
        </is>
      </c>
      <c r="B99" s="1" t="n">
        <v>77.0427</v>
      </c>
      <c r="C99" s="1" t="n">
        <v>99.7778</v>
      </c>
      <c r="D99" s="1" t="n">
        <v>270</v>
      </c>
      <c r="E99" s="1" t="n">
        <v>1110128</v>
      </c>
      <c r="F99" s="1" t="inlineStr">
        <is>
          <t>Capacitor,NP0,10P,50V,5%,0402(1005)</t>
        </is>
      </c>
    </row>
    <row r="100">
      <c r="A100" s="1" t="inlineStr">
        <is>
          <t>C321</t>
        </is>
      </c>
      <c r="B100" s="1" t="n">
        <v>71.44159999999999</v>
      </c>
      <c r="C100" s="1" t="n">
        <v>99.2778</v>
      </c>
      <c r="D100" s="1" t="n">
        <v>90</v>
      </c>
      <c r="E100" s="1" t="n">
        <v>1110128</v>
      </c>
      <c r="F100" s="1" t="inlineStr">
        <is>
          <t>Capacitor,NP0,10P,50V,5%,0402(1005)</t>
        </is>
      </c>
    </row>
    <row r="101">
      <c r="A101" s="1" t="inlineStr">
        <is>
          <t>C322</t>
        </is>
      </c>
      <c r="B101" s="1" t="n">
        <v>59.2562</v>
      </c>
      <c r="C101" s="1" t="n">
        <v>101.326</v>
      </c>
      <c r="D101" s="1" t="n">
        <v>360</v>
      </c>
      <c r="E101" s="1" t="n">
        <v>1110118</v>
      </c>
      <c r="F101" s="1" t="inlineStr">
        <is>
          <t>Capacitor,X7R,100N,50V,10%,0402(1005)</t>
        </is>
      </c>
    </row>
    <row r="102">
      <c r="A102" s="1" t="inlineStr">
        <is>
          <t>C323</t>
        </is>
      </c>
      <c r="B102" s="1" t="n">
        <v>4.9977</v>
      </c>
      <c r="C102" s="1" t="n">
        <v>105.651</v>
      </c>
      <c r="D102" s="1" t="n">
        <v>270</v>
      </c>
      <c r="E102" s="1" t="n">
        <v>1110118</v>
      </c>
      <c r="F102" s="1" t="inlineStr">
        <is>
          <t>Capacitor,X7R,100N,50V,10%,0402(1005)</t>
        </is>
      </c>
    </row>
    <row r="103">
      <c r="A103" s="1" t="inlineStr">
        <is>
          <t>C324</t>
        </is>
      </c>
      <c r="B103" s="1" t="n">
        <v>6.3476</v>
      </c>
      <c r="C103" s="1" t="n">
        <v>108.051</v>
      </c>
      <c r="D103" s="1" t="n">
        <v>90</v>
      </c>
      <c r="E103" s="1" t="n">
        <v>1110142</v>
      </c>
      <c r="F103" s="1" t="inlineStr">
        <is>
          <t>Capacitor,X7R,22N,50V,10%,0402(1005)</t>
        </is>
      </c>
    </row>
    <row r="104">
      <c r="A104" s="1" t="inlineStr">
        <is>
          <t>C325</t>
        </is>
      </c>
      <c r="B104" s="1" t="n">
        <v>11.4477</v>
      </c>
      <c r="C104" s="1" t="n">
        <v>109.351</v>
      </c>
      <c r="D104" s="1" t="n">
        <v>270</v>
      </c>
      <c r="E104" s="1" t="n">
        <v>1110118</v>
      </c>
      <c r="F104" s="1" t="inlineStr">
        <is>
          <t>Capacitor,X7R,100N,50V,10%,0402(1005)</t>
        </is>
      </c>
    </row>
    <row r="105">
      <c r="A105" s="1" t="inlineStr">
        <is>
          <t>C326</t>
        </is>
      </c>
      <c r="B105" s="1" t="n">
        <v>11.5727</v>
      </c>
      <c r="C105" s="1" t="n">
        <v>112.326</v>
      </c>
      <c r="D105" s="1" t="n">
        <v>270</v>
      </c>
      <c r="E105" s="1" t="n">
        <v>1110101</v>
      </c>
      <c r="F105" s="1" t="inlineStr">
        <is>
          <t>Capacitor,X7R,47N,50V,10%,0603(1608)</t>
        </is>
      </c>
    </row>
    <row r="106">
      <c r="A106" s="1" t="inlineStr">
        <is>
          <t>C327</t>
        </is>
      </c>
      <c r="B106" s="1" t="n">
        <v>5.2976</v>
      </c>
      <c r="C106" s="1" t="n">
        <v>114.501</v>
      </c>
      <c r="D106" s="1" t="n">
        <v>180</v>
      </c>
      <c r="E106" s="1" t="n">
        <v>1110142</v>
      </c>
      <c r="F106" s="1" t="inlineStr">
        <is>
          <t>Capacitor,X7R,22N,50V,10%,0402(1005)</t>
        </is>
      </c>
    </row>
    <row r="107">
      <c r="A107" s="1" t="inlineStr">
        <is>
          <t>C331</t>
        </is>
      </c>
      <c r="B107" s="1" t="n">
        <v>59.2562</v>
      </c>
      <c r="C107" s="1" t="n">
        <v>103.326</v>
      </c>
      <c r="D107" s="1" t="n">
        <v>360</v>
      </c>
      <c r="E107" s="1" t="n">
        <v>1102015</v>
      </c>
      <c r="F107" s="1" t="inlineStr">
        <is>
          <t>Capacitor,X7R,4.7U,16V,10%,1206(3216)</t>
        </is>
      </c>
    </row>
    <row r="108">
      <c r="A108" s="1" t="inlineStr">
        <is>
          <t>C333</t>
        </is>
      </c>
      <c r="B108" s="1" t="n">
        <v>39.7395</v>
      </c>
      <c r="C108" s="1" t="n">
        <v>78.28449999999999</v>
      </c>
      <c r="D108" s="1" t="n">
        <v>270</v>
      </c>
      <c r="E108" s="1" t="n">
        <v>1102015</v>
      </c>
      <c r="F108" s="1" t="inlineStr">
        <is>
          <t>Capacitor,X7R,4.7U,16V,10%,1206(3216)</t>
        </is>
      </c>
    </row>
    <row r="109">
      <c r="A109" s="1" t="inlineStr">
        <is>
          <t>D101</t>
        </is>
      </c>
      <c r="B109" s="1" t="n">
        <v>94.1977</v>
      </c>
      <c r="C109" s="1" t="n">
        <v>30.6285</v>
      </c>
      <c r="D109" s="1" t="n">
        <v>90</v>
      </c>
      <c r="E109" s="1" t="n">
        <v>1110901</v>
      </c>
      <c r="F109" s="1" t="inlineStr">
        <is>
          <t>Diode,Rectifier,General Purpose,600V,1A,SOD-323</t>
        </is>
      </c>
    </row>
    <row r="110">
      <c r="A110" s="1" t="inlineStr">
        <is>
          <t>D102</t>
        </is>
      </c>
      <c r="B110" s="1" t="n">
        <v>89.1977</v>
      </c>
      <c r="C110" s="1" t="n">
        <v>33.401</v>
      </c>
      <c r="D110" s="1" t="n">
        <v>270</v>
      </c>
      <c r="E110" s="1" t="n">
        <v>1110914</v>
      </c>
      <c r="F110" s="1" t="inlineStr">
        <is>
          <t>Diode,Switching,70V,215mA,Dual,SOT-323</t>
        </is>
      </c>
    </row>
    <row r="111">
      <c r="A111" s="1" t="inlineStr">
        <is>
          <t>D103</t>
        </is>
      </c>
      <c r="B111" s="1" t="n">
        <v>81.4727</v>
      </c>
      <c r="C111" s="1" t="n">
        <v>55.801</v>
      </c>
      <c r="D111" s="1" t="n">
        <v>180</v>
      </c>
      <c r="E111" s="1" t="n">
        <v>1110630</v>
      </c>
      <c r="F111" s="1" t="inlineStr">
        <is>
          <t>Diode,TVS,CAN bus,2CH,Bi,24V,230W,SOT-23-3</t>
        </is>
      </c>
    </row>
    <row r="112">
      <c r="A112" s="1" t="inlineStr">
        <is>
          <t>D104</t>
        </is>
      </c>
      <c r="B112" s="1" t="n">
        <v>84.0252</v>
      </c>
      <c r="C112" s="1" t="n">
        <v>66.651</v>
      </c>
      <c r="D112" s="1" t="n">
        <v>360</v>
      </c>
      <c r="E112" s="1" t="n">
        <v>1110901</v>
      </c>
      <c r="F112" s="1" t="inlineStr">
        <is>
          <t>Diode,Rectifier,General Purpose,600V,1A,SOD-323</t>
        </is>
      </c>
    </row>
    <row r="113">
      <c r="A113" s="1" t="inlineStr">
        <is>
          <t>D105</t>
        </is>
      </c>
      <c r="B113" s="1" t="n">
        <v>94.8202</v>
      </c>
      <c r="C113" s="1" t="n">
        <v>66.651</v>
      </c>
      <c r="D113" s="1" t="n">
        <v>180</v>
      </c>
      <c r="E113" s="1" t="n">
        <v>1110901</v>
      </c>
      <c r="F113" s="1" t="inlineStr">
        <is>
          <t>Diode,Rectifier,General Purpose,600V,1A,SOD-323</t>
        </is>
      </c>
    </row>
    <row r="114">
      <c r="A114" s="1" t="inlineStr">
        <is>
          <t>D106</t>
        </is>
      </c>
      <c r="B114" s="1" t="n">
        <v>89.4477</v>
      </c>
      <c r="C114" s="1" t="n">
        <v>67.70099999999999</v>
      </c>
      <c r="D114" s="1" t="n">
        <v>90</v>
      </c>
      <c r="E114" s="1" t="n">
        <v>1110630</v>
      </c>
      <c r="F114" s="1" t="inlineStr">
        <is>
          <t>Diode,TVS,CAN bus,2CH,Bi,24V,230W,SOT-23-3</t>
        </is>
      </c>
    </row>
    <row r="115">
      <c r="A115" s="1" t="inlineStr">
        <is>
          <t>D109</t>
        </is>
      </c>
      <c r="B115" s="1" t="n">
        <v>97.6977</v>
      </c>
      <c r="C115" s="1" t="n">
        <v>67.52849999999999</v>
      </c>
      <c r="D115" s="1" t="n">
        <v>270</v>
      </c>
      <c r="E115" s="1" t="n">
        <v>1110901</v>
      </c>
      <c r="F115" s="1" t="inlineStr">
        <is>
          <t>Diode,Rectifier,General Purpose,600V,1A,SOD-323</t>
        </is>
      </c>
    </row>
    <row r="116">
      <c r="A116" s="1" t="inlineStr">
        <is>
          <t>D110</t>
        </is>
      </c>
      <c r="B116" s="1" t="n">
        <v>91.0977</v>
      </c>
      <c r="C116" s="1" t="n">
        <v>152.5285</v>
      </c>
      <c r="D116" s="1" t="n">
        <v>90</v>
      </c>
      <c r="E116" s="1" t="n">
        <v>1110901</v>
      </c>
      <c r="F116" s="1" t="inlineStr">
        <is>
          <t>Diode,Rectifier,General Purpose,600V,1A,SOD-323</t>
        </is>
      </c>
    </row>
    <row r="117">
      <c r="A117" s="1" t="inlineStr">
        <is>
          <t>D112</t>
        </is>
      </c>
      <c r="B117" s="1" t="n">
        <v>32.2477</v>
      </c>
      <c r="C117" s="1" t="n">
        <v>63.7285</v>
      </c>
      <c r="D117" s="1" t="n">
        <v>90</v>
      </c>
      <c r="E117" s="1" t="n">
        <v>1110901</v>
      </c>
      <c r="F117" s="1" t="inlineStr">
        <is>
          <t>Diode,Rectifier,General Purpose,600V,1A,SOD-323</t>
        </is>
      </c>
    </row>
    <row r="118">
      <c r="A118" s="1" t="inlineStr">
        <is>
          <t>D113</t>
        </is>
      </c>
      <c r="B118" s="1" t="n">
        <v>22.4477</v>
      </c>
      <c r="C118" s="1" t="n">
        <v>63.7285</v>
      </c>
      <c r="D118" s="1" t="n">
        <v>90</v>
      </c>
      <c r="E118" s="1" t="n">
        <v>1110901</v>
      </c>
      <c r="F118" s="1" t="inlineStr">
        <is>
          <t>Diode,Rectifier,General Purpose,600V,1A,SOD-323</t>
        </is>
      </c>
    </row>
    <row r="119">
      <c r="A119" s="1" t="inlineStr">
        <is>
          <t>D114</t>
        </is>
      </c>
      <c r="B119" s="1" t="n">
        <v>87.99769999999999</v>
      </c>
      <c r="C119" s="1" t="n">
        <v>152.5785</v>
      </c>
      <c r="D119" s="1" t="n">
        <v>90</v>
      </c>
      <c r="E119" s="1" t="n">
        <v>1110901</v>
      </c>
      <c r="F119" s="1" t="inlineStr">
        <is>
          <t>Diode,Rectifier,General Purpose,600V,1A,SOD-323</t>
        </is>
      </c>
    </row>
    <row r="120">
      <c r="A120" s="1" t="inlineStr">
        <is>
          <t>D116</t>
        </is>
      </c>
      <c r="B120" s="1" t="n">
        <v>101.6477</v>
      </c>
      <c r="C120" s="1" t="n">
        <v>30.8235</v>
      </c>
      <c r="D120" s="1" t="n">
        <v>270</v>
      </c>
      <c r="E120" s="1" t="n">
        <v>1110901</v>
      </c>
      <c r="F120" s="1" t="inlineStr">
        <is>
          <t>Diode,Rectifier,General Purpose,600V,1A,SOD-323</t>
        </is>
      </c>
    </row>
    <row r="121">
      <c r="A121" s="1" t="inlineStr">
        <is>
          <t>D117</t>
        </is>
      </c>
      <c r="B121" s="1" t="n">
        <v>25.3227</v>
      </c>
      <c r="C121" s="1" t="n">
        <v>63.7285</v>
      </c>
      <c r="D121" s="1" t="n">
        <v>90</v>
      </c>
      <c r="E121" s="1" t="n">
        <v>1110901</v>
      </c>
      <c r="F121" s="1" t="inlineStr">
        <is>
          <t>Diode,Rectifier,General Purpose,600V,1A,SOD-323</t>
        </is>
      </c>
    </row>
    <row r="122">
      <c r="A122" s="1" t="inlineStr">
        <is>
          <t>D122</t>
        </is>
      </c>
      <c r="B122" s="1" t="n">
        <v>98.79770000000001</v>
      </c>
      <c r="C122" s="1" t="n">
        <v>30.7735</v>
      </c>
      <c r="D122" s="1" t="n">
        <v>270</v>
      </c>
      <c r="E122" s="1" t="n">
        <v>1110901</v>
      </c>
      <c r="F122" s="1" t="inlineStr">
        <is>
          <t>Diode,Rectifier,General Purpose,600V,1A,SOD-323</t>
        </is>
      </c>
    </row>
    <row r="123">
      <c r="A123" s="1" t="inlineStr">
        <is>
          <t>D123</t>
        </is>
      </c>
      <c r="B123" s="1" t="n">
        <v>18.3227</v>
      </c>
      <c r="C123" s="1" t="n">
        <v>63.7285</v>
      </c>
      <c r="D123" s="1" t="n">
        <v>90</v>
      </c>
      <c r="E123" s="1" t="n">
        <v>1110901</v>
      </c>
      <c r="F123" s="1" t="inlineStr">
        <is>
          <t>Diode,Rectifier,General Purpose,600V,1A,SOD-323</t>
        </is>
      </c>
    </row>
    <row r="124">
      <c r="A124" s="1" t="inlineStr">
        <is>
          <t>D125</t>
        </is>
      </c>
      <c r="B124" s="1" t="n">
        <v>5.2977</v>
      </c>
      <c r="C124" s="1" t="n">
        <v>63.7285</v>
      </c>
      <c r="D124" s="1" t="n">
        <v>90</v>
      </c>
      <c r="E124" s="1" t="n">
        <v>1110901</v>
      </c>
      <c r="F124" s="1" t="inlineStr">
        <is>
          <t>Diode,Rectifier,General Purpose,600V,1A,SOD-323</t>
        </is>
      </c>
    </row>
    <row r="125">
      <c r="A125" s="1" t="inlineStr">
        <is>
          <t>D126</t>
        </is>
      </c>
      <c r="B125" s="1" t="n">
        <v>43.5477</v>
      </c>
      <c r="C125" s="1" t="n">
        <v>63.7285</v>
      </c>
      <c r="D125" s="1" t="n">
        <v>90</v>
      </c>
      <c r="E125" s="1" t="n">
        <v>1110901</v>
      </c>
      <c r="F125" s="1" t="inlineStr">
        <is>
          <t>Diode,Rectifier,General Purpose,600V,1A,SOD-323</t>
        </is>
      </c>
    </row>
    <row r="126">
      <c r="A126" s="1" t="inlineStr">
        <is>
          <t>D127</t>
        </is>
      </c>
      <c r="B126" s="1" t="n">
        <v>29.4477</v>
      </c>
      <c r="C126" s="1" t="n">
        <v>63.7285</v>
      </c>
      <c r="D126" s="1" t="n">
        <v>90</v>
      </c>
      <c r="E126" s="1" t="n">
        <v>1110901</v>
      </c>
      <c r="F126" s="1" t="inlineStr">
        <is>
          <t>Diode,Rectifier,General Purpose,600V,1A,SOD-323</t>
        </is>
      </c>
    </row>
    <row r="127">
      <c r="A127" s="1" t="inlineStr">
        <is>
          <t>D128</t>
        </is>
      </c>
      <c r="B127" s="1" t="n">
        <v>36.4644</v>
      </c>
      <c r="C127" s="1" t="n">
        <v>63.7285</v>
      </c>
      <c r="D127" s="1" t="n">
        <v>90</v>
      </c>
      <c r="E127" s="1" t="n">
        <v>1110901</v>
      </c>
      <c r="F127" s="1" t="inlineStr">
        <is>
          <t>Diode,Rectifier,General Purpose,600V,1A,SOD-323</t>
        </is>
      </c>
    </row>
    <row r="128">
      <c r="A128" s="1" t="inlineStr">
        <is>
          <t>D129</t>
        </is>
      </c>
      <c r="B128" s="1" t="n">
        <v>39.3227</v>
      </c>
      <c r="C128" s="1" t="n">
        <v>63.7285</v>
      </c>
      <c r="D128" s="1" t="n">
        <v>90</v>
      </c>
      <c r="E128" s="1" t="n">
        <v>1110901</v>
      </c>
      <c r="F128" s="1" t="inlineStr">
        <is>
          <t>Diode,Rectifier,General Purpose,600V,1A,SOD-323</t>
        </is>
      </c>
    </row>
    <row r="129">
      <c r="A129" s="1" t="inlineStr">
        <is>
          <t>D148</t>
        </is>
      </c>
      <c r="B129" s="1" t="n">
        <v>77.71169999999999</v>
      </c>
      <c r="C129" s="1" t="n">
        <v>150.293</v>
      </c>
      <c r="D129" s="1" t="n">
        <v>90</v>
      </c>
      <c r="E129" s="1" t="n">
        <v>1110920</v>
      </c>
      <c r="F129" s="1" t="inlineStr">
        <is>
          <t>Diode,Rectifier,Ultra Fast,1000V,1A,DO-214AC(SMA)</t>
        </is>
      </c>
    </row>
    <row r="130">
      <c r="A130" s="1" t="inlineStr">
        <is>
          <t>D149</t>
        </is>
      </c>
      <c r="B130" s="1" t="n">
        <v>119.4227</v>
      </c>
      <c r="C130" s="1" t="n">
        <v>103.501</v>
      </c>
      <c r="D130" s="1" t="n">
        <v>270</v>
      </c>
      <c r="E130" s="1" t="n">
        <v>1110920</v>
      </c>
      <c r="F130" s="1" t="inlineStr">
        <is>
          <t>Diode,Rectifier,Ultra Fast,1000V,1A,DO-214AC(SMA)</t>
        </is>
      </c>
    </row>
    <row r="131">
      <c r="A131" s="1" t="inlineStr">
        <is>
          <t>D150</t>
        </is>
      </c>
      <c r="B131" s="1" t="n">
        <v>73.9117</v>
      </c>
      <c r="C131" s="1" t="n">
        <v>150.293</v>
      </c>
      <c r="D131" s="1" t="n">
        <v>90</v>
      </c>
      <c r="E131" s="1" t="n">
        <v>1110920</v>
      </c>
      <c r="F131" s="1" t="inlineStr">
        <is>
          <t>Diode,Rectifier,Ultra Fast,1000V,1A,DO-214AC(SMA)</t>
        </is>
      </c>
    </row>
    <row r="132">
      <c r="A132" s="1" t="inlineStr">
        <is>
          <t>D151</t>
        </is>
      </c>
      <c r="B132" s="1" t="n">
        <v>115.3977</v>
      </c>
      <c r="C132" s="1" t="n">
        <v>103.501</v>
      </c>
      <c r="D132" s="1" t="n">
        <v>270</v>
      </c>
      <c r="E132" s="1" t="n">
        <v>1110920</v>
      </c>
      <c r="F132" s="1" t="inlineStr">
        <is>
          <t>Diode,Rectifier,Ultra Fast,1000V,1A,DO-214AC(SMA)</t>
        </is>
      </c>
    </row>
    <row r="133">
      <c r="A133" s="1" t="inlineStr">
        <is>
          <t>D155</t>
        </is>
      </c>
      <c r="B133" s="1" t="n">
        <v>81.49769999999999</v>
      </c>
      <c r="C133" s="1" t="n">
        <v>48.951</v>
      </c>
      <c r="D133" s="1" t="n">
        <v>180</v>
      </c>
      <c r="E133" s="1" t="n">
        <v>1110630</v>
      </c>
      <c r="F133" s="1" t="inlineStr">
        <is>
          <t>Diode,TVS,CAN bus,2CH,Bi,24V,230W,SOT-23-3</t>
        </is>
      </c>
    </row>
    <row r="134">
      <c r="A134" s="1" t="inlineStr">
        <is>
          <t>D158</t>
        </is>
      </c>
      <c r="B134" s="1" t="n">
        <v>28.6227</v>
      </c>
      <c r="C134" s="1" t="n">
        <v>109.451</v>
      </c>
      <c r="D134" s="1" t="n">
        <v>180</v>
      </c>
      <c r="E134" s="1" t="n">
        <v>1110920</v>
      </c>
      <c r="F134" s="1" t="inlineStr">
        <is>
          <t>Diode,Rectifier,Ultra Fast,1000V,1A,DO-214AC(SMA)</t>
        </is>
      </c>
    </row>
    <row r="135">
      <c r="A135" s="1" t="inlineStr">
        <is>
          <t>D165</t>
        </is>
      </c>
      <c r="B135" s="1" t="n">
        <v>100.8977</v>
      </c>
      <c r="C135" s="1" t="n">
        <v>67.52849999999999</v>
      </c>
      <c r="D135" s="1" t="n">
        <v>270</v>
      </c>
      <c r="E135" s="1" t="n">
        <v>1110901</v>
      </c>
      <c r="F135" s="1" t="inlineStr">
        <is>
          <t>Diode,Rectifier,General Purpose,600V,1A,SOD-323</t>
        </is>
      </c>
    </row>
    <row r="136">
      <c r="A136" s="1" t="inlineStr">
        <is>
          <t>D183</t>
        </is>
      </c>
      <c r="B136" s="1" t="n">
        <v>11.5252</v>
      </c>
      <c r="C136" s="1" t="n">
        <v>15.851</v>
      </c>
      <c r="D136" s="1" t="n">
        <v>180</v>
      </c>
      <c r="E136" s="1" t="n">
        <v>1110914</v>
      </c>
      <c r="F136" s="1" t="inlineStr">
        <is>
          <t>Diode,Switching,70V,215mA,Dual,SOT-323</t>
        </is>
      </c>
    </row>
    <row r="137">
      <c r="A137" s="1" t="inlineStr">
        <is>
          <t>D185</t>
        </is>
      </c>
      <c r="B137" s="1" t="n">
        <v>9.2477</v>
      </c>
      <c r="C137" s="1" t="n">
        <v>25.751</v>
      </c>
      <c r="D137" s="1" t="n">
        <v>360</v>
      </c>
      <c r="E137" s="1" t="n">
        <v>1110901</v>
      </c>
      <c r="F137" s="1" t="inlineStr">
        <is>
          <t>Diode,Rectifier,General Purpose,600V,1A,SOD-323</t>
        </is>
      </c>
    </row>
    <row r="138">
      <c r="A138" s="1" t="inlineStr">
        <is>
          <t>D187</t>
        </is>
      </c>
      <c r="B138" s="1" t="n">
        <v>19.8477</v>
      </c>
      <c r="C138" s="1" t="n">
        <v>15.851</v>
      </c>
      <c r="D138" s="1" t="n">
        <v>360</v>
      </c>
      <c r="E138" s="1" t="n">
        <v>1110914</v>
      </c>
      <c r="F138" s="1" t="inlineStr">
        <is>
          <t>Diode,Switching,70V,215mA,Dual,SOT-323</t>
        </is>
      </c>
    </row>
    <row r="139">
      <c r="A139" s="1" t="inlineStr">
        <is>
          <t>D189</t>
        </is>
      </c>
      <c r="B139" s="1" t="n">
        <v>58.3477</v>
      </c>
      <c r="C139" s="1" t="n">
        <v>38.301</v>
      </c>
      <c r="D139" s="1" t="n">
        <v>90</v>
      </c>
      <c r="E139" s="1" t="n">
        <v>1110914</v>
      </c>
      <c r="F139" s="1" t="inlineStr">
        <is>
          <t>Diode,Switching,70V,215mA,Dual,SOT-323</t>
        </is>
      </c>
    </row>
    <row r="140">
      <c r="A140" s="1" t="inlineStr">
        <is>
          <t>D190</t>
        </is>
      </c>
      <c r="B140" s="1" t="n">
        <v>50.1052</v>
      </c>
      <c r="C140" s="1" t="n">
        <v>36.651</v>
      </c>
      <c r="D140" s="1" t="n">
        <v>180</v>
      </c>
      <c r="E140" s="1" t="n">
        <v>1110901</v>
      </c>
      <c r="F140" s="1" t="inlineStr">
        <is>
          <t>Diode,Rectifier,General Purpose,600V,1A,SOD-323</t>
        </is>
      </c>
    </row>
    <row r="141">
      <c r="A141" s="1" t="inlineStr">
        <is>
          <t>D191</t>
        </is>
      </c>
      <c r="B141" s="1" t="n">
        <v>58.2977</v>
      </c>
      <c r="C141" s="1" t="n">
        <v>43.001</v>
      </c>
      <c r="D141" s="1" t="n">
        <v>270</v>
      </c>
      <c r="E141" s="1" t="n">
        <v>1110914</v>
      </c>
      <c r="F141" s="1" t="inlineStr">
        <is>
          <t>Diode,Switching,70V,215mA,Dual,SOT-323</t>
        </is>
      </c>
    </row>
    <row r="142">
      <c r="A142" s="1" t="inlineStr">
        <is>
          <t>D192</t>
        </is>
      </c>
      <c r="B142" s="1" t="n">
        <v>50.1202</v>
      </c>
      <c r="C142" s="1" t="n">
        <v>44.701</v>
      </c>
      <c r="D142" s="1" t="n">
        <v>180</v>
      </c>
      <c r="E142" s="1" t="n">
        <v>1110901</v>
      </c>
      <c r="F142" s="1" t="inlineStr">
        <is>
          <t>Diode,Rectifier,General Purpose,600V,1A,SOD-323</t>
        </is>
      </c>
    </row>
    <row r="143">
      <c r="A143" s="1" t="inlineStr">
        <is>
          <t>D193</t>
        </is>
      </c>
      <c r="B143" s="1" t="n">
        <v>29.3977</v>
      </c>
      <c r="C143" s="1" t="n">
        <v>15.901</v>
      </c>
      <c r="D143" s="1" t="n">
        <v>360</v>
      </c>
      <c r="E143" s="1" t="n">
        <v>1110914</v>
      </c>
      <c r="F143" s="1" t="inlineStr">
        <is>
          <t>Diode,Switching,70V,215mA,Dual,SOT-323</t>
        </is>
      </c>
    </row>
    <row r="144">
      <c r="A144" s="1" t="inlineStr">
        <is>
          <t>D194</t>
        </is>
      </c>
      <c r="B144" s="1" t="n">
        <v>28.8752</v>
      </c>
      <c r="C144" s="1" t="n">
        <v>25.751</v>
      </c>
      <c r="D144" s="1" t="n">
        <v>360</v>
      </c>
      <c r="E144" s="1" t="n">
        <v>1110901</v>
      </c>
      <c r="F144" s="1" t="inlineStr">
        <is>
          <t>Diode,Rectifier,General Purpose,600V,1A,SOD-323</t>
        </is>
      </c>
    </row>
    <row r="145">
      <c r="A145" s="1" t="inlineStr">
        <is>
          <t>D195</t>
        </is>
      </c>
      <c r="B145" s="1" t="n">
        <v>24.64</v>
      </c>
      <c r="C145" s="1" t="n">
        <v>15.851</v>
      </c>
      <c r="D145" s="1" t="n">
        <v>360</v>
      </c>
      <c r="E145" s="1" t="n">
        <v>1110914</v>
      </c>
      <c r="F145" s="1" t="inlineStr">
        <is>
          <t>Diode,Switching,70V,215mA,Dual,SOT-323</t>
        </is>
      </c>
    </row>
    <row r="146">
      <c r="A146" s="1" t="inlineStr">
        <is>
          <t>D197</t>
        </is>
      </c>
      <c r="B146" s="1" t="n">
        <v>15.0977</v>
      </c>
      <c r="C146" s="1" t="n">
        <v>15.851</v>
      </c>
      <c r="D146" s="1" t="n">
        <v>360</v>
      </c>
      <c r="E146" s="1" t="n">
        <v>1110914</v>
      </c>
      <c r="F146" s="1" t="inlineStr">
        <is>
          <t>Diode,Switching,70V,215mA,Dual,SOT-323</t>
        </is>
      </c>
    </row>
    <row r="147">
      <c r="A147" s="1" t="inlineStr">
        <is>
          <t>D198</t>
        </is>
      </c>
      <c r="B147" s="1" t="n">
        <v>14.6702</v>
      </c>
      <c r="C147" s="1" t="n">
        <v>25.751</v>
      </c>
      <c r="D147" s="1" t="n">
        <v>360</v>
      </c>
      <c r="E147" s="1" t="n">
        <v>1110901</v>
      </c>
      <c r="F147" s="1" t="inlineStr">
        <is>
          <t>Diode,Rectifier,General Purpose,600V,1A,SOD-323</t>
        </is>
      </c>
    </row>
    <row r="148">
      <c r="A148" s="1" t="inlineStr">
        <is>
          <t>D199</t>
        </is>
      </c>
      <c r="B148" s="1" t="n">
        <v>78.3202</v>
      </c>
      <c r="C148" s="1" t="n">
        <v>95.501</v>
      </c>
      <c r="D148" s="1" t="n">
        <v>180</v>
      </c>
      <c r="E148" s="1" t="n">
        <v>1110901</v>
      </c>
      <c r="F148" s="1" t="inlineStr">
        <is>
          <t>Diode,Rectifier,General Purpose,600V,1A,SOD-323</t>
        </is>
      </c>
    </row>
    <row r="149">
      <c r="A149" s="1" t="inlineStr">
        <is>
          <t>D206</t>
        </is>
      </c>
      <c r="B149" s="1" t="n">
        <v>25.5477</v>
      </c>
      <c r="C149" s="1" t="n">
        <v>113.7235</v>
      </c>
      <c r="D149" s="1" t="n">
        <v>270</v>
      </c>
      <c r="E149" s="1" t="n">
        <v>1110901</v>
      </c>
      <c r="F149" s="1" t="inlineStr">
        <is>
          <t>Diode,Rectifier,General Purpose,600V,1A,SOD-323</t>
        </is>
      </c>
    </row>
    <row r="150">
      <c r="A150" s="1" t="inlineStr">
        <is>
          <t>Q100</t>
        </is>
      </c>
      <c r="B150" s="1" t="n">
        <v>115.1227</v>
      </c>
      <c r="C150" s="1" t="n">
        <v>79.901</v>
      </c>
      <c r="D150" s="1" t="n">
        <v>90</v>
      </c>
      <c r="E150" s="1" t="n">
        <v>1110653</v>
      </c>
      <c r="F150" s="1" t="inlineStr">
        <is>
          <t>TRANS,Power,BJT,PNP,-60V,-1A,1.4W,SOT-223</t>
        </is>
      </c>
    </row>
    <row r="151">
      <c r="A151" s="1" t="inlineStr">
        <is>
          <t>Q111</t>
        </is>
      </c>
      <c r="B151" s="1" t="n">
        <v>11.2977</v>
      </c>
      <c r="C151" s="1" t="n">
        <v>106.651</v>
      </c>
      <c r="D151" s="1" t="n">
        <v>180</v>
      </c>
      <c r="E151" s="1" t="n">
        <v>1110654</v>
      </c>
      <c r="F151" s="1" t="inlineStr">
        <is>
          <t>TRANS,General Purpose,BJT,NPN,45V,0.5A,SOT-323</t>
        </is>
      </c>
    </row>
    <row r="152">
      <c r="A152" s="1" t="inlineStr">
        <is>
          <t>Q112</t>
        </is>
      </c>
      <c r="B152" s="1" t="n">
        <v>5.1976</v>
      </c>
      <c r="C152" s="1" t="n">
        <v>112.101</v>
      </c>
      <c r="D152" s="1" t="n">
        <v>270</v>
      </c>
      <c r="E152" s="1" t="n">
        <v>1110654</v>
      </c>
      <c r="F152" s="1" t="inlineStr">
        <is>
          <t>TRANS,General Purpose,BJT,NPN,45V,0.5A,SOT-323</t>
        </is>
      </c>
    </row>
    <row r="153">
      <c r="A153" s="1" t="inlineStr">
        <is>
          <t>R100</t>
        </is>
      </c>
      <c r="B153" s="1" t="n">
        <v>93.0643</v>
      </c>
      <c r="C153" s="1" t="n">
        <v>33.951</v>
      </c>
      <c r="D153" s="1" t="n">
        <v>180</v>
      </c>
      <c r="E153" s="1" t="n">
        <v>1110364</v>
      </c>
      <c r="F153" s="1" t="inlineStr">
        <is>
          <t>Resistor,1.8K,5%,1/4W,1206(3216)</t>
        </is>
      </c>
    </row>
    <row r="154">
      <c r="A154" s="1" t="inlineStr">
        <is>
          <t>R101</t>
        </is>
      </c>
      <c r="B154" s="1" t="n">
        <v>92.6477</v>
      </c>
      <c r="C154" s="1" t="n">
        <v>30.001</v>
      </c>
      <c r="D154" s="1" t="n">
        <v>270</v>
      </c>
      <c r="E154" s="1" t="n">
        <v>1110576</v>
      </c>
      <c r="F154" s="1" t="inlineStr">
        <is>
          <t>Resistor,22K,5%,1/16W,0402(1005)</t>
        </is>
      </c>
    </row>
    <row r="155">
      <c r="A155" s="1" t="inlineStr">
        <is>
          <t>R105</t>
        </is>
      </c>
      <c r="B155" s="1" t="n">
        <v>108.9477</v>
      </c>
      <c r="C155" s="1" t="n">
        <v>34.026</v>
      </c>
      <c r="D155" s="1" t="n">
        <v>270</v>
      </c>
      <c r="E155" s="1" t="n">
        <v>1101036</v>
      </c>
      <c r="F155" s="1" t="inlineStr">
        <is>
          <t>Resistor,100,5%,1/10W,0603(1608)</t>
        </is>
      </c>
    </row>
    <row r="156">
      <c r="A156" s="1" t="inlineStr">
        <is>
          <t>R106</t>
        </is>
      </c>
      <c r="B156" s="1" t="n">
        <v>108.9477</v>
      </c>
      <c r="C156" s="1" t="n">
        <v>31.326</v>
      </c>
      <c r="D156" s="1" t="n">
        <v>270</v>
      </c>
      <c r="E156" s="1" t="n">
        <v>1101036</v>
      </c>
      <c r="F156" s="1" t="inlineStr">
        <is>
          <t>Resistor,100,5%,1/10W,0603(1608)</t>
        </is>
      </c>
    </row>
    <row r="157">
      <c r="A157" s="1" t="inlineStr">
        <is>
          <t>R108</t>
        </is>
      </c>
      <c r="B157" s="1" t="n">
        <v>108.9477</v>
      </c>
      <c r="C157" s="1" t="n">
        <v>28.676</v>
      </c>
      <c r="D157" s="1" t="n">
        <v>270</v>
      </c>
      <c r="E157" s="1" t="n">
        <v>1101036</v>
      </c>
      <c r="F157" s="1" t="inlineStr">
        <is>
          <t>Resistor,100,5%,1/10W,0603(1608)</t>
        </is>
      </c>
    </row>
    <row r="158">
      <c r="A158" s="1" t="inlineStr">
        <is>
          <t>R109</t>
        </is>
      </c>
      <c r="B158" s="1" t="n">
        <v>75.32769999999999</v>
      </c>
      <c r="C158" s="1" t="n">
        <v>83.8279</v>
      </c>
      <c r="D158" s="1" t="n">
        <v>270</v>
      </c>
      <c r="E158" s="1" t="n">
        <v>1110703</v>
      </c>
      <c r="F158" s="1" t="inlineStr">
        <is>
          <t>Resistor,10K,5%,1/16W,0402(1005)</t>
        </is>
      </c>
    </row>
    <row r="159">
      <c r="A159" s="1" t="inlineStr">
        <is>
          <t>R111</t>
        </is>
      </c>
      <c r="B159" s="1" t="n">
        <v>114.9977</v>
      </c>
      <c r="C159" s="1" t="n">
        <v>34.026</v>
      </c>
      <c r="D159" s="1" t="n">
        <v>270</v>
      </c>
      <c r="E159" s="1" t="n">
        <v>1101036</v>
      </c>
      <c r="F159" s="1" t="inlineStr">
        <is>
          <t>Resistor,100,5%,1/10W,0603(1608)</t>
        </is>
      </c>
    </row>
    <row r="160">
      <c r="A160" s="1" t="inlineStr">
        <is>
          <t>R112</t>
        </is>
      </c>
      <c r="B160" s="1" t="n">
        <v>114.9977</v>
      </c>
      <c r="C160" s="1" t="n">
        <v>31.376</v>
      </c>
      <c r="D160" s="1" t="n">
        <v>270</v>
      </c>
      <c r="E160" s="1" t="n">
        <v>1101036</v>
      </c>
      <c r="F160" s="1" t="inlineStr">
        <is>
          <t>Resistor,100,5%,1/10W,0603(1608)</t>
        </is>
      </c>
    </row>
    <row r="161">
      <c r="A161" s="1" t="inlineStr">
        <is>
          <t>R113</t>
        </is>
      </c>
      <c r="B161" s="1" t="n">
        <v>114.9977</v>
      </c>
      <c r="C161" s="1" t="n">
        <v>28.726</v>
      </c>
      <c r="D161" s="1" t="n">
        <v>270</v>
      </c>
      <c r="E161" s="1" t="n">
        <v>1101036</v>
      </c>
      <c r="F161" s="1" t="inlineStr">
        <is>
          <t>Resistor,100,5%,1/10W,0603(1608)</t>
        </is>
      </c>
    </row>
    <row r="162">
      <c r="A162" s="1" t="inlineStr">
        <is>
          <t>R114</t>
        </is>
      </c>
      <c r="B162" s="1" t="n">
        <v>114.9977</v>
      </c>
      <c r="C162" s="1" t="n">
        <v>26.026</v>
      </c>
      <c r="D162" s="1" t="n">
        <v>270</v>
      </c>
      <c r="E162" s="1" t="n">
        <v>1101036</v>
      </c>
      <c r="F162" s="1" t="inlineStr">
        <is>
          <t>Resistor,100,5%,1/10W,0603(1608)</t>
        </is>
      </c>
    </row>
    <row r="163">
      <c r="A163" s="1" t="inlineStr">
        <is>
          <t>R129</t>
        </is>
      </c>
      <c r="B163" s="1" t="n">
        <v>104.0977</v>
      </c>
      <c r="C163" s="1" t="n">
        <v>34.151</v>
      </c>
      <c r="D163" s="1" t="n">
        <v>90</v>
      </c>
      <c r="E163" s="1" t="n">
        <v>1110276</v>
      </c>
      <c r="F163" s="1" t="inlineStr">
        <is>
          <t>Resistor,0R,5%,1/16W,0402(1005)</t>
        </is>
      </c>
    </row>
    <row r="164">
      <c r="A164" s="1" t="inlineStr">
        <is>
          <t>R130</t>
        </is>
      </c>
      <c r="B164" s="1" t="n">
        <v>78.7306</v>
      </c>
      <c r="C164" s="1" t="n">
        <v>42.3338</v>
      </c>
      <c r="D164" s="1" t="n">
        <v>180</v>
      </c>
      <c r="E164" s="1" t="n">
        <v>1110276</v>
      </c>
      <c r="F164" s="1" t="inlineStr">
        <is>
          <t>Resistor,0R,5%,1/16W,0402(1005)</t>
        </is>
      </c>
    </row>
    <row r="165">
      <c r="A165" s="1" t="inlineStr">
        <is>
          <t>R131</t>
        </is>
      </c>
      <c r="B165" s="1" t="n">
        <v>78.7306</v>
      </c>
      <c r="C165" s="1" t="n">
        <v>44.9338</v>
      </c>
      <c r="D165" s="1" t="n">
        <v>180</v>
      </c>
      <c r="E165" s="1" t="n">
        <v>1110276</v>
      </c>
      <c r="F165" s="1" t="inlineStr">
        <is>
          <t>Resistor,0R,5%,1/16W,0402(1005)</t>
        </is>
      </c>
    </row>
    <row r="166">
      <c r="A166" s="1" t="inlineStr">
        <is>
          <t>R132</t>
        </is>
      </c>
      <c r="B166" s="1" t="n">
        <v>78.7306</v>
      </c>
      <c r="C166" s="1" t="n">
        <v>43.6338</v>
      </c>
      <c r="D166" s="1" t="n">
        <v>180</v>
      </c>
      <c r="E166" s="1" t="n">
        <v>1110276</v>
      </c>
      <c r="F166" s="1" t="inlineStr">
        <is>
          <t>Resistor,0R,5%,1/16W,0402(1005)</t>
        </is>
      </c>
    </row>
    <row r="167">
      <c r="A167" s="1" t="inlineStr">
        <is>
          <t>R133</t>
        </is>
      </c>
      <c r="B167" s="1" t="n">
        <v>78.7306</v>
      </c>
      <c r="C167" s="1" t="n">
        <v>39.7838</v>
      </c>
      <c r="D167" s="1" t="n">
        <v>180</v>
      </c>
      <c r="E167" s="1" t="n">
        <v>1110276</v>
      </c>
      <c r="F167" s="1" t="inlineStr">
        <is>
          <t>Resistor,0R,5%,1/16W,0402(1005)</t>
        </is>
      </c>
    </row>
    <row r="168">
      <c r="A168" s="1" t="inlineStr">
        <is>
          <t>R134</t>
        </is>
      </c>
      <c r="B168" s="1" t="n">
        <v>92.30029999999999</v>
      </c>
      <c r="C168" s="1" t="n">
        <v>91.3659</v>
      </c>
      <c r="D168" s="1" t="n">
        <v>270</v>
      </c>
      <c r="E168" s="1" t="n">
        <v>1110576</v>
      </c>
      <c r="F168" s="1" t="inlineStr">
        <is>
          <t>Resistor,22K,5%,1/16W,0402(1005)</t>
        </is>
      </c>
    </row>
    <row r="169">
      <c r="A169" s="1" t="inlineStr">
        <is>
          <t>R135</t>
        </is>
      </c>
      <c r="B169" s="1" t="n">
        <v>29.3143</v>
      </c>
      <c r="C169" s="1" t="n">
        <v>112.801</v>
      </c>
      <c r="D169" s="1" t="n">
        <v>180</v>
      </c>
      <c r="E169" s="1" t="n">
        <v>1110284</v>
      </c>
      <c r="F169" s="1" t="inlineStr">
        <is>
          <t>Resistor,1.2K,5%,1/4W,1206(3216)</t>
        </is>
      </c>
    </row>
    <row r="170">
      <c r="A170" s="1" t="inlineStr">
        <is>
          <t>R136</t>
        </is>
      </c>
      <c r="B170" s="1" t="n">
        <v>87.5227</v>
      </c>
      <c r="C170" s="1" t="n">
        <v>92.82599999999999</v>
      </c>
      <c r="D170" s="1" t="n">
        <v>360</v>
      </c>
      <c r="E170" s="1" t="n">
        <v>1110276</v>
      </c>
      <c r="F170" s="1" t="inlineStr">
        <is>
          <t>Resistor,0R,5%,1/16W,0402(1005)</t>
        </is>
      </c>
    </row>
    <row r="171">
      <c r="A171" s="1" t="inlineStr">
        <is>
          <t>R137</t>
        </is>
      </c>
      <c r="B171" s="1" t="n">
        <v>87.5227</v>
      </c>
      <c r="C171" s="1" t="n">
        <v>90.751</v>
      </c>
      <c r="D171" s="1" t="n">
        <v>360</v>
      </c>
      <c r="E171" s="1" t="n">
        <v>1110276</v>
      </c>
      <c r="F171" s="1" t="inlineStr">
        <is>
          <t>Resistor,0R,5%,1/16W,0402(1005)</t>
        </is>
      </c>
    </row>
    <row r="172">
      <c r="A172" s="1" t="inlineStr">
        <is>
          <t>R138</t>
        </is>
      </c>
      <c r="B172" s="1" t="n">
        <v>87.5227</v>
      </c>
      <c r="C172" s="1" t="n">
        <v>81.476</v>
      </c>
      <c r="D172" s="1" t="n">
        <v>360</v>
      </c>
      <c r="E172" s="1" t="n">
        <v>1110276</v>
      </c>
      <c r="F172" s="1" t="inlineStr">
        <is>
          <t>Resistor,0R,5%,1/16W,0402(1005)</t>
        </is>
      </c>
    </row>
    <row r="173">
      <c r="A173" s="1" t="inlineStr">
        <is>
          <t>R139</t>
        </is>
      </c>
      <c r="B173" s="1" t="n">
        <v>87.5227</v>
      </c>
      <c r="C173" s="1" t="n">
        <v>79.101</v>
      </c>
      <c r="D173" s="1" t="n">
        <v>360</v>
      </c>
      <c r="E173" s="1" t="n">
        <v>1110276</v>
      </c>
      <c r="F173" s="1" t="inlineStr">
        <is>
          <t>Resistor,0R,5%,1/16W,0402(1005)</t>
        </is>
      </c>
    </row>
    <row r="174">
      <c r="A174" s="1" t="inlineStr">
        <is>
          <t>R140</t>
        </is>
      </c>
      <c r="B174" s="1" t="n">
        <v>87.5227</v>
      </c>
      <c r="C174" s="1" t="n">
        <v>77.776</v>
      </c>
      <c r="D174" s="1" t="n">
        <v>360</v>
      </c>
      <c r="E174" s="1" t="n">
        <v>1110276</v>
      </c>
      <c r="F174" s="1" t="inlineStr">
        <is>
          <t>Resistor,0R,5%,1/16W,0402(1005)</t>
        </is>
      </c>
    </row>
    <row r="175">
      <c r="A175" s="1" t="inlineStr">
        <is>
          <t>R141</t>
        </is>
      </c>
      <c r="B175" s="1" t="n">
        <v>87.5227</v>
      </c>
      <c r="C175" s="1" t="n">
        <v>76.45099999999999</v>
      </c>
      <c r="D175" s="1" t="n">
        <v>360</v>
      </c>
      <c r="E175" s="1" t="n">
        <v>1110276</v>
      </c>
      <c r="F175" s="1" t="inlineStr">
        <is>
          <t>Resistor,0R,5%,1/16W,0402(1005)</t>
        </is>
      </c>
    </row>
    <row r="176">
      <c r="A176" s="1" t="inlineStr">
        <is>
          <t>R142</t>
        </is>
      </c>
      <c r="B176" s="1" t="n">
        <v>92.5312</v>
      </c>
      <c r="C176" s="1" t="n">
        <v>73.051</v>
      </c>
      <c r="D176" s="1" t="n">
        <v>180</v>
      </c>
      <c r="E176" s="1" t="n">
        <v>1110690</v>
      </c>
      <c r="F176" s="1" t="inlineStr">
        <is>
          <t>Resistor,60.4,1%,1/4W,-55°C,155 °C,1206(3216)</t>
        </is>
      </c>
    </row>
    <row r="177">
      <c r="A177" s="1" t="inlineStr">
        <is>
          <t>R143</t>
        </is>
      </c>
      <c r="B177" s="1" t="n">
        <v>92.5311</v>
      </c>
      <c r="C177" s="1" t="n">
        <v>75.801</v>
      </c>
      <c r="D177" s="1" t="n">
        <v>360</v>
      </c>
      <c r="E177" s="1" t="n">
        <v>1110690</v>
      </c>
      <c r="F177" s="1" t="inlineStr">
        <is>
          <t>Resistor,60.4,1%,1/4W,-55°C,155 °C,1206(3216)</t>
        </is>
      </c>
    </row>
    <row r="178">
      <c r="A178" s="1" t="inlineStr">
        <is>
          <t>R144</t>
        </is>
      </c>
      <c r="B178" s="1" t="n">
        <v>86.33929999999999</v>
      </c>
      <c r="C178" s="1" t="n">
        <v>70.20099999999999</v>
      </c>
      <c r="D178" s="1" t="n">
        <v>360</v>
      </c>
      <c r="E178" s="1" t="n">
        <v>1110376</v>
      </c>
      <c r="F178" s="1" t="inlineStr">
        <is>
          <t>Resistor,1K,5%,1/4W,1206(3216)</t>
        </is>
      </c>
    </row>
    <row r="179">
      <c r="A179" s="1" t="inlineStr">
        <is>
          <t>R145</t>
        </is>
      </c>
      <c r="B179" s="1" t="n">
        <v>92.5312</v>
      </c>
      <c r="C179" s="1" t="n">
        <v>70.20099999999999</v>
      </c>
      <c r="D179" s="1" t="n">
        <v>180</v>
      </c>
      <c r="E179" s="1" t="n">
        <v>1110376</v>
      </c>
      <c r="F179" s="1" t="inlineStr">
        <is>
          <t>Resistor,1K,5%,1/4W,1206(3216)</t>
        </is>
      </c>
    </row>
    <row r="180">
      <c r="A180" s="1" t="inlineStr">
        <is>
          <t>R146</t>
        </is>
      </c>
      <c r="B180" s="1" t="n">
        <v>87.5227</v>
      </c>
      <c r="C180" s="1" t="n">
        <v>85.45099999999999</v>
      </c>
      <c r="D180" s="1" t="n">
        <v>180</v>
      </c>
      <c r="E180" s="1" t="n">
        <v>1110276</v>
      </c>
      <c r="F180" s="1" t="inlineStr">
        <is>
          <t>Resistor,0R,5%,1/16W,0402(1005)</t>
        </is>
      </c>
    </row>
    <row r="181">
      <c r="A181" s="1" t="inlineStr">
        <is>
          <t>R147</t>
        </is>
      </c>
      <c r="B181" s="1" t="n">
        <v>87.5227</v>
      </c>
      <c r="C181" s="1" t="n">
        <v>86.776</v>
      </c>
      <c r="D181" s="1" t="n">
        <v>180</v>
      </c>
      <c r="E181" s="1" t="n">
        <v>1110276</v>
      </c>
      <c r="F181" s="1" t="inlineStr">
        <is>
          <t>Resistor,0R,5%,1/16W,0402(1005)</t>
        </is>
      </c>
    </row>
    <row r="182">
      <c r="A182" s="1" t="inlineStr">
        <is>
          <t>R148</t>
        </is>
      </c>
      <c r="B182" s="1" t="n">
        <v>87.5227</v>
      </c>
      <c r="C182" s="1" t="n">
        <v>88.101</v>
      </c>
      <c r="D182" s="1" t="n">
        <v>180</v>
      </c>
      <c r="E182" s="1" t="n">
        <v>1110276</v>
      </c>
      <c r="F182" s="1" t="inlineStr">
        <is>
          <t>Resistor,0R,5%,1/16W,0402(1005)</t>
        </is>
      </c>
    </row>
    <row r="183">
      <c r="A183" s="1" t="inlineStr">
        <is>
          <t>R149</t>
        </is>
      </c>
      <c r="B183" s="1" t="n">
        <v>87.5227</v>
      </c>
      <c r="C183" s="1" t="n">
        <v>89.426</v>
      </c>
      <c r="D183" s="1" t="n">
        <v>180</v>
      </c>
      <c r="E183" s="1" t="n">
        <v>1110276</v>
      </c>
      <c r="F183" s="1" t="inlineStr">
        <is>
          <t>Resistor,0R,5%,1/16W,0402(1005)</t>
        </is>
      </c>
    </row>
    <row r="184">
      <c r="A184" s="1" t="inlineStr">
        <is>
          <t>R150</t>
        </is>
      </c>
      <c r="B184" s="1" t="n">
        <v>87.5227</v>
      </c>
      <c r="C184" s="1" t="n">
        <v>82.801</v>
      </c>
      <c r="D184" s="1" t="n">
        <v>180</v>
      </c>
      <c r="E184" s="1" t="n">
        <v>1110199</v>
      </c>
      <c r="F184" s="1" t="inlineStr">
        <is>
          <t>Resistor,100,5%,1/16W,0402(1005)</t>
        </is>
      </c>
    </row>
    <row r="185">
      <c r="A185" s="1" t="inlineStr">
        <is>
          <t>R151</t>
        </is>
      </c>
      <c r="B185" s="1" t="n">
        <v>83.0227</v>
      </c>
      <c r="C185" s="1" t="n">
        <v>83.57599999999999</v>
      </c>
      <c r="D185" s="1" t="n">
        <v>90</v>
      </c>
      <c r="E185" s="1" t="n">
        <v>1110584</v>
      </c>
      <c r="F185" s="1" t="inlineStr">
        <is>
          <t>Resistor,47K,5%,1/16W,0402(1005)</t>
        </is>
      </c>
    </row>
    <row r="186">
      <c r="A186" s="1" t="inlineStr">
        <is>
          <t>R152</t>
        </is>
      </c>
      <c r="B186" s="1" t="n">
        <v>87.5227</v>
      </c>
      <c r="C186" s="1" t="n">
        <v>84.126</v>
      </c>
      <c r="D186" s="1" t="n">
        <v>180</v>
      </c>
      <c r="E186" s="1" t="n">
        <v>1110199</v>
      </c>
      <c r="F186" s="1" t="inlineStr">
        <is>
          <t>Resistor,100,5%,1/16W,0402(1005)</t>
        </is>
      </c>
    </row>
    <row r="187">
      <c r="A187" s="1" t="inlineStr">
        <is>
          <t>R157</t>
        </is>
      </c>
      <c r="B187" s="1" t="n">
        <v>110.5477</v>
      </c>
      <c r="C187" s="1" t="n">
        <v>84.7345</v>
      </c>
      <c r="D187" s="1" t="n">
        <v>270</v>
      </c>
      <c r="E187" s="1" t="n">
        <v>1110754</v>
      </c>
      <c r="F187" s="1" t="inlineStr">
        <is>
          <t>Resistor,1,1%,1/4W,1206(3216)</t>
        </is>
      </c>
    </row>
    <row r="188">
      <c r="A188" s="1" t="inlineStr">
        <is>
          <t>R158</t>
        </is>
      </c>
      <c r="B188" s="1" t="n">
        <v>117.6477</v>
      </c>
      <c r="C188" s="1" t="n">
        <v>85.976</v>
      </c>
      <c r="D188" s="1" t="n">
        <v>90</v>
      </c>
      <c r="E188" s="1" t="n">
        <v>1110274</v>
      </c>
      <c r="F188" s="1" t="inlineStr">
        <is>
          <t>Resistor,0R,5%,1/10W,0603(1608)</t>
        </is>
      </c>
    </row>
    <row r="189">
      <c r="A189" s="1" t="inlineStr">
        <is>
          <t>R159</t>
        </is>
      </c>
      <c r="B189" s="1" t="n">
        <v>110.5477</v>
      </c>
      <c r="C189" s="1" t="n">
        <v>78.2595</v>
      </c>
      <c r="D189" s="1" t="n">
        <v>270</v>
      </c>
      <c r="E189" s="1" t="n">
        <v>1110229</v>
      </c>
      <c r="F189" s="1" t="inlineStr">
        <is>
          <t>Resistor,680,5%,1/4W,1206(3216)</t>
        </is>
      </c>
    </row>
    <row r="190">
      <c r="A190" s="1" t="inlineStr">
        <is>
          <t>R160</t>
        </is>
      </c>
      <c r="B190" s="1" t="n">
        <v>108.7306</v>
      </c>
      <c r="C190" s="1" t="n">
        <v>92.57599999999999</v>
      </c>
      <c r="D190" s="1" t="n">
        <v>90</v>
      </c>
      <c r="E190" s="1" t="n">
        <v>1110274</v>
      </c>
      <c r="F190" s="1" t="inlineStr">
        <is>
          <t>Resistor,0R,5%,1/10W,0603(1608)</t>
        </is>
      </c>
    </row>
    <row r="191">
      <c r="A191" s="1" t="inlineStr">
        <is>
          <t>R200</t>
        </is>
      </c>
      <c r="B191" s="1" t="n">
        <v>93.2727</v>
      </c>
      <c r="C191" s="1" t="n">
        <v>99.001</v>
      </c>
      <c r="D191" s="1" t="n">
        <v>90</v>
      </c>
      <c r="E191" s="1" t="n">
        <v>1110581</v>
      </c>
      <c r="F191" s="1" t="inlineStr">
        <is>
          <t>Resistor,4.7K,5%,1/16W,0402(1005)</t>
        </is>
      </c>
    </row>
    <row r="192">
      <c r="A192" s="1" t="inlineStr">
        <is>
          <t>R201</t>
        </is>
      </c>
      <c r="B192" s="1" t="n">
        <v>97.62269999999999</v>
      </c>
      <c r="C192" s="1" t="n">
        <v>99.001</v>
      </c>
      <c r="D192" s="1" t="n">
        <v>90</v>
      </c>
      <c r="E192" s="1" t="n">
        <v>1110581</v>
      </c>
      <c r="F192" s="1" t="inlineStr">
        <is>
          <t>Resistor,4.7K,5%,1/16W,0402(1005)</t>
        </is>
      </c>
    </row>
    <row r="193">
      <c r="A193" s="1" t="inlineStr">
        <is>
          <t>R202</t>
        </is>
      </c>
      <c r="B193" s="1" t="n">
        <v>92.29770000000001</v>
      </c>
      <c r="C193" s="1" t="n">
        <v>110.176</v>
      </c>
      <c r="D193" s="1" t="n">
        <v>180</v>
      </c>
      <c r="E193" s="1" t="n">
        <v>1110584</v>
      </c>
      <c r="F193" s="1" t="inlineStr">
        <is>
          <t>Resistor,47K,5%,1/16W,0402(1005)</t>
        </is>
      </c>
    </row>
    <row r="194">
      <c r="A194" s="1" t="inlineStr">
        <is>
          <t>R211</t>
        </is>
      </c>
      <c r="B194" s="1" t="n">
        <v>94.6477</v>
      </c>
      <c r="C194" s="1" t="n">
        <v>99.001</v>
      </c>
      <c r="D194" s="1" t="n">
        <v>90</v>
      </c>
      <c r="E194" s="1" t="n">
        <v>1110581</v>
      </c>
      <c r="F194" s="1" t="inlineStr">
        <is>
          <t>Resistor,4.7K,5%,1/16W,0402(1005)</t>
        </is>
      </c>
    </row>
    <row r="195">
      <c r="A195" s="1" t="inlineStr">
        <is>
          <t>R212</t>
        </is>
      </c>
      <c r="B195" s="1" t="n">
        <v>96.29770000000001</v>
      </c>
      <c r="C195" s="1" t="n">
        <v>99.001</v>
      </c>
      <c r="D195" s="1" t="n">
        <v>90</v>
      </c>
      <c r="E195" s="1" t="n">
        <v>1110581</v>
      </c>
      <c r="F195" s="1" t="inlineStr">
        <is>
          <t>Resistor,4.7K,5%,1/16W,0402(1005)</t>
        </is>
      </c>
    </row>
    <row r="196">
      <c r="A196" s="1" t="inlineStr">
        <is>
          <t>R213</t>
        </is>
      </c>
      <c r="B196" s="1" t="n">
        <v>98.3977</v>
      </c>
      <c r="C196" s="1" t="n">
        <v>110.176</v>
      </c>
      <c r="D196" s="1" t="n">
        <v>360</v>
      </c>
      <c r="E196" s="1" t="n">
        <v>1110584</v>
      </c>
      <c r="F196" s="1" t="inlineStr">
        <is>
          <t>Resistor,47K,5%,1/16W,0402(1005)</t>
        </is>
      </c>
    </row>
    <row r="197">
      <c r="A197" s="1" t="inlineStr">
        <is>
          <t>R214</t>
        </is>
      </c>
      <c r="B197" s="1" t="n">
        <v>89.81489999999999</v>
      </c>
      <c r="C197" s="1" t="n">
        <v>102.826</v>
      </c>
      <c r="D197" s="1" t="n">
        <v>180</v>
      </c>
      <c r="E197" s="1" t="n">
        <v>1110760</v>
      </c>
      <c r="F197" s="1" t="inlineStr">
        <is>
          <t>Resistor,47,5%,1/10W,0603(1608)</t>
        </is>
      </c>
    </row>
    <row r="198">
      <c r="A198" s="1" t="inlineStr">
        <is>
          <t>R215</t>
        </is>
      </c>
      <c r="B198" s="1" t="n">
        <v>82.37269999999999</v>
      </c>
      <c r="C198" s="1" t="n">
        <v>99.001</v>
      </c>
      <c r="D198" s="1" t="n">
        <v>90</v>
      </c>
      <c r="E198" s="1" t="n">
        <v>1110581</v>
      </c>
      <c r="F198" s="1" t="inlineStr">
        <is>
          <t>Resistor,4.7K,5%,1/16W,0402(1005)</t>
        </is>
      </c>
    </row>
    <row r="199">
      <c r="A199" s="1" t="inlineStr">
        <is>
          <t>R216</t>
        </is>
      </c>
      <c r="B199" s="1" t="n">
        <v>86.9477</v>
      </c>
      <c r="C199" s="1" t="n">
        <v>99.001</v>
      </c>
      <c r="D199" s="1" t="n">
        <v>90</v>
      </c>
      <c r="E199" s="1" t="n">
        <v>1110581</v>
      </c>
      <c r="F199" s="1" t="inlineStr">
        <is>
          <t>Resistor,4.7K,5%,1/16W,0402(1005)</t>
        </is>
      </c>
    </row>
    <row r="200">
      <c r="A200" s="1" t="inlineStr">
        <is>
          <t>R217</t>
        </is>
      </c>
      <c r="B200" s="1" t="n">
        <v>81.0977</v>
      </c>
      <c r="C200" s="1" t="n">
        <v>110.176</v>
      </c>
      <c r="D200" s="1" t="n">
        <v>180</v>
      </c>
      <c r="E200" s="1" t="n">
        <v>1110584</v>
      </c>
      <c r="F200" s="1" t="inlineStr">
        <is>
          <t>Resistor,47K,5%,1/16W,0402(1005)</t>
        </is>
      </c>
    </row>
    <row r="201">
      <c r="A201" s="1" t="inlineStr">
        <is>
          <t>R218</t>
        </is>
      </c>
      <c r="B201" s="1" t="n">
        <v>83.6477</v>
      </c>
      <c r="C201" s="1" t="n">
        <v>99.001</v>
      </c>
      <c r="D201" s="1" t="n">
        <v>90</v>
      </c>
      <c r="E201" s="1" t="n">
        <v>1110581</v>
      </c>
      <c r="F201" s="1" t="inlineStr">
        <is>
          <t>Resistor,4.7K,5%,1/16W,0402(1005)</t>
        </is>
      </c>
    </row>
    <row r="202">
      <c r="A202" s="1" t="inlineStr">
        <is>
          <t>R219</t>
        </is>
      </c>
      <c r="B202" s="1" t="n">
        <v>85.37269999999999</v>
      </c>
      <c r="C202" s="1" t="n">
        <v>99.001</v>
      </c>
      <c r="D202" s="1" t="n">
        <v>90</v>
      </c>
      <c r="E202" s="1" t="n">
        <v>1110581</v>
      </c>
      <c r="F202" s="1" t="inlineStr">
        <is>
          <t>Resistor,4.7K,5%,1/16W,0402(1005)</t>
        </is>
      </c>
    </row>
    <row r="203">
      <c r="A203" s="1" t="inlineStr">
        <is>
          <t>R220</t>
        </is>
      </c>
      <c r="B203" s="1" t="n">
        <v>87.24769999999999</v>
      </c>
      <c r="C203" s="1" t="n">
        <v>110.176</v>
      </c>
      <c r="D203" s="1" t="n">
        <v>360</v>
      </c>
      <c r="E203" s="1" t="n">
        <v>1110584</v>
      </c>
      <c r="F203" s="1" t="inlineStr">
        <is>
          <t>Resistor,47K,5%,1/16W,0402(1005)</t>
        </is>
      </c>
    </row>
    <row r="204">
      <c r="A204" s="1" t="inlineStr">
        <is>
          <t>R221</t>
        </is>
      </c>
      <c r="B204" s="1" t="n">
        <v>78.5714</v>
      </c>
      <c r="C204" s="1" t="n">
        <v>102.826</v>
      </c>
      <c r="D204" s="1" t="n">
        <v>180</v>
      </c>
      <c r="E204" s="1" t="n">
        <v>1110760</v>
      </c>
      <c r="F204" s="1" t="inlineStr">
        <is>
          <t>Resistor,47,5%,1/10W,0603(1608)</t>
        </is>
      </c>
    </row>
    <row r="205">
      <c r="A205" s="1" t="inlineStr">
        <is>
          <t>R222</t>
        </is>
      </c>
      <c r="B205" s="1" t="n">
        <v>104.5477</v>
      </c>
      <c r="C205" s="1" t="n">
        <v>99.001</v>
      </c>
      <c r="D205" s="1" t="n">
        <v>90</v>
      </c>
      <c r="E205" s="1" t="n">
        <v>1110581</v>
      </c>
      <c r="F205" s="1" t="inlineStr">
        <is>
          <t>Resistor,4.7K,5%,1/16W,0402(1005)</t>
        </is>
      </c>
    </row>
    <row r="206">
      <c r="A206" s="1" t="inlineStr">
        <is>
          <t>R223</t>
        </is>
      </c>
      <c r="B206" s="1" t="n">
        <v>108.8227</v>
      </c>
      <c r="C206" s="1" t="n">
        <v>99.001</v>
      </c>
      <c r="D206" s="1" t="n">
        <v>90</v>
      </c>
      <c r="E206" s="1" t="n">
        <v>1110581</v>
      </c>
      <c r="F206" s="1" t="inlineStr">
        <is>
          <t>Resistor,4.7K,5%,1/16W,0402(1005)</t>
        </is>
      </c>
    </row>
    <row r="207">
      <c r="A207" s="1" t="inlineStr">
        <is>
          <t>R224</t>
        </is>
      </c>
      <c r="B207" s="1" t="n">
        <v>103.4727</v>
      </c>
      <c r="C207" s="1" t="n">
        <v>110.176</v>
      </c>
      <c r="D207" s="1" t="n">
        <v>180</v>
      </c>
      <c r="E207" s="1" t="n">
        <v>1110584</v>
      </c>
      <c r="F207" s="1" t="inlineStr">
        <is>
          <t>Resistor,47K,5%,1/16W,0402(1005)</t>
        </is>
      </c>
    </row>
    <row r="208">
      <c r="A208" s="1" t="inlineStr">
        <is>
          <t>R225</t>
        </is>
      </c>
      <c r="B208" s="1" t="n">
        <v>105.8477</v>
      </c>
      <c r="C208" s="1" t="n">
        <v>99.001</v>
      </c>
      <c r="D208" s="1" t="n">
        <v>90</v>
      </c>
      <c r="E208" s="1" t="n">
        <v>1110581</v>
      </c>
      <c r="F208" s="1" t="inlineStr">
        <is>
          <t>Resistor,4.7K,5%,1/16W,0402(1005)</t>
        </is>
      </c>
    </row>
    <row r="209">
      <c r="A209" s="1" t="inlineStr">
        <is>
          <t>R226</t>
        </is>
      </c>
      <c r="B209" s="1" t="n">
        <v>107.4977</v>
      </c>
      <c r="C209" s="1" t="n">
        <v>99.001</v>
      </c>
      <c r="D209" s="1" t="n">
        <v>90</v>
      </c>
      <c r="E209" s="1" t="n">
        <v>1110581</v>
      </c>
      <c r="F209" s="1" t="inlineStr">
        <is>
          <t>Resistor,4.7K,5%,1/16W,0402(1005)</t>
        </is>
      </c>
    </row>
    <row r="210">
      <c r="A210" s="1" t="inlineStr">
        <is>
          <t>R227</t>
        </is>
      </c>
      <c r="B210" s="1" t="n">
        <v>109.6227</v>
      </c>
      <c r="C210" s="1" t="n">
        <v>110.176</v>
      </c>
      <c r="D210" s="1" t="n">
        <v>360</v>
      </c>
      <c r="E210" s="1" t="n">
        <v>1110584</v>
      </c>
      <c r="F210" s="1" t="inlineStr">
        <is>
          <t>Resistor,47K,5%,1/16W,0402(1005)</t>
        </is>
      </c>
    </row>
    <row r="211">
      <c r="A211" s="1" t="inlineStr">
        <is>
          <t>R228</t>
        </is>
      </c>
      <c r="B211" s="1" t="n">
        <v>101.003</v>
      </c>
      <c r="C211" s="1" t="n">
        <v>102.826</v>
      </c>
      <c r="D211" s="1" t="n">
        <v>180</v>
      </c>
      <c r="E211" s="1" t="n">
        <v>1110760</v>
      </c>
      <c r="F211" s="1" t="inlineStr">
        <is>
          <t>Resistor,47,5%,1/10W,0603(1608)</t>
        </is>
      </c>
    </row>
    <row r="212">
      <c r="A212" s="1" t="inlineStr">
        <is>
          <t>R263</t>
        </is>
      </c>
      <c r="B212" s="1" t="n">
        <v>78.8977</v>
      </c>
      <c r="C212" s="1" t="n">
        <v>50.001</v>
      </c>
      <c r="D212" s="1" t="n">
        <v>90</v>
      </c>
      <c r="E212" s="1" t="n">
        <v>1110276</v>
      </c>
      <c r="F212" s="1" t="inlineStr">
        <is>
          <t>Resistor,0R,5%,1/16W,0402(1005)</t>
        </is>
      </c>
    </row>
    <row r="213">
      <c r="A213" s="1" t="inlineStr">
        <is>
          <t>R266</t>
        </is>
      </c>
      <c r="B213" s="1" t="n">
        <v>78.8977</v>
      </c>
      <c r="C213" s="1" t="n">
        <v>47.751</v>
      </c>
      <c r="D213" s="1" t="n">
        <v>270</v>
      </c>
      <c r="E213" s="1" t="n">
        <v>1110276</v>
      </c>
      <c r="F213" s="1" t="inlineStr">
        <is>
          <t>Resistor,0R,5%,1/16W,0402(1005)</t>
        </is>
      </c>
    </row>
    <row r="214">
      <c r="A214" s="1" t="inlineStr">
        <is>
          <t>R267</t>
        </is>
      </c>
      <c r="B214" s="1" t="n">
        <v>75.0877</v>
      </c>
      <c r="C214" s="1" t="n">
        <v>66.851</v>
      </c>
      <c r="D214" s="1" t="n">
        <v>270</v>
      </c>
      <c r="E214" s="1" t="n">
        <v>1110276</v>
      </c>
      <c r="F214" s="1" t="inlineStr">
        <is>
          <t>Resistor,0R,5%,1/16W,0402(1005)</t>
        </is>
      </c>
    </row>
    <row r="215">
      <c r="A215" s="1" t="inlineStr">
        <is>
          <t>R270</t>
        </is>
      </c>
      <c r="B215" s="1" t="n">
        <v>71.2777</v>
      </c>
      <c r="C215" s="1" t="n">
        <v>66.851</v>
      </c>
      <c r="D215" s="1" t="n">
        <v>270</v>
      </c>
      <c r="E215" s="1" t="n">
        <v>1110276</v>
      </c>
      <c r="F215" s="1" t="inlineStr">
        <is>
          <t>Resistor,0R,5%,1/16W,0402(1005)</t>
        </is>
      </c>
    </row>
    <row r="216">
      <c r="A216" s="1" t="inlineStr">
        <is>
          <t>R272</t>
        </is>
      </c>
      <c r="B216" s="1" t="n">
        <v>76.8477</v>
      </c>
      <c r="C216" s="1" t="n">
        <v>56.701</v>
      </c>
      <c r="D216" s="1" t="n">
        <v>270</v>
      </c>
      <c r="E216" s="1" t="n">
        <v>1110276</v>
      </c>
      <c r="F216" s="1" t="inlineStr">
        <is>
          <t>Resistor,0R,5%,1/16W,0402(1005)</t>
        </is>
      </c>
    </row>
    <row r="217">
      <c r="A217" s="1" t="inlineStr">
        <is>
          <t>R283</t>
        </is>
      </c>
      <c r="B217" s="1" t="n">
        <v>59.2562</v>
      </c>
      <c r="C217" s="1" t="n">
        <v>105.226</v>
      </c>
      <c r="D217" s="1" t="n">
        <v>180</v>
      </c>
      <c r="E217" s="1" t="n">
        <v>1101081</v>
      </c>
      <c r="F217" s="1" t="inlineStr">
        <is>
          <t>Resistor,6.8R,5%,1/16W,0402(1005)</t>
        </is>
      </c>
    </row>
    <row r="218">
      <c r="A218" s="1" t="inlineStr">
        <is>
          <t>R284</t>
        </is>
      </c>
      <c r="B218" s="1" t="n">
        <v>39.6395</v>
      </c>
      <c r="C218" s="1" t="n">
        <v>81.251</v>
      </c>
      <c r="D218" s="1" t="n">
        <v>360</v>
      </c>
      <c r="E218" s="1" t="n">
        <v>1101081</v>
      </c>
      <c r="F218" s="1" t="inlineStr">
        <is>
          <t>Resistor,6.8R,5%,1/16W,0402(1005)</t>
        </is>
      </c>
    </row>
    <row r="219">
      <c r="A219" s="1" t="inlineStr">
        <is>
          <t>R294</t>
        </is>
      </c>
      <c r="B219" s="1" t="n">
        <v>125.3477</v>
      </c>
      <c r="C219" s="1" t="n">
        <v>140.901</v>
      </c>
      <c r="D219" s="1" t="n">
        <v>180</v>
      </c>
      <c r="E219" s="1" t="n">
        <v>1110703</v>
      </c>
      <c r="F219" s="1" t="inlineStr">
        <is>
          <t>Resistor,10K,5%,1/16W,0402(1005)</t>
        </is>
      </c>
    </row>
    <row r="220">
      <c r="A220" s="1" t="inlineStr">
        <is>
          <t>R308</t>
        </is>
      </c>
      <c r="B220" s="1" t="n">
        <v>80.99769999999999</v>
      </c>
      <c r="C220" s="1" t="n">
        <v>34.251</v>
      </c>
      <c r="D220" s="1" t="n">
        <v>360</v>
      </c>
      <c r="E220" s="1" t="n">
        <v>1110276</v>
      </c>
      <c r="F220" s="1" t="inlineStr">
        <is>
          <t>Resistor,0R,5%,1/16W,0402(1005)</t>
        </is>
      </c>
    </row>
    <row r="221">
      <c r="A221" s="1" t="inlineStr">
        <is>
          <t>R309</t>
        </is>
      </c>
      <c r="B221" s="1" t="n">
        <v>78.6977</v>
      </c>
      <c r="C221" s="1" t="n">
        <v>34.251</v>
      </c>
      <c r="D221" s="1" t="n">
        <v>180</v>
      </c>
      <c r="E221" s="1" t="n">
        <v>1110276</v>
      </c>
      <c r="F221" s="1" t="inlineStr">
        <is>
          <t>Resistor,0R,5%,1/16W,0402(1005)</t>
        </is>
      </c>
    </row>
    <row r="222">
      <c r="A222" s="1" t="inlineStr">
        <is>
          <t>R310</t>
        </is>
      </c>
      <c r="B222" s="1" t="n">
        <v>78.6977</v>
      </c>
      <c r="C222" s="1" t="n">
        <v>35.601</v>
      </c>
      <c r="D222" s="1" t="n">
        <v>180</v>
      </c>
      <c r="E222" s="1" t="n">
        <v>1110276</v>
      </c>
      <c r="F222" s="1" t="inlineStr">
        <is>
          <t>Resistor,0R,5%,1/16W,0402(1005)</t>
        </is>
      </c>
    </row>
    <row r="223">
      <c r="A223" s="1" t="inlineStr">
        <is>
          <t>R312</t>
        </is>
      </c>
      <c r="B223" s="1" t="n">
        <v>74.0977</v>
      </c>
      <c r="C223" s="1" t="n">
        <v>34.251</v>
      </c>
      <c r="D223" s="1" t="n">
        <v>180</v>
      </c>
      <c r="E223" s="1" t="n">
        <v>1110276</v>
      </c>
      <c r="F223" s="1" t="inlineStr">
        <is>
          <t>Resistor,0R,5%,1/16W,0402(1005)</t>
        </is>
      </c>
    </row>
    <row r="224">
      <c r="A224" s="1" t="inlineStr">
        <is>
          <t>R313</t>
        </is>
      </c>
      <c r="B224" s="1" t="n">
        <v>69.49769999999999</v>
      </c>
      <c r="C224" s="1" t="n">
        <v>34.251</v>
      </c>
      <c r="D224" s="1" t="n">
        <v>180</v>
      </c>
      <c r="E224" s="1" t="n">
        <v>1110276</v>
      </c>
      <c r="F224" s="1" t="inlineStr">
        <is>
          <t>Resistor,0R,5%,1/16W,0402(1005)</t>
        </is>
      </c>
    </row>
    <row r="225">
      <c r="A225" s="1" t="inlineStr">
        <is>
          <t>R314</t>
        </is>
      </c>
      <c r="B225" s="1" t="n">
        <v>71.79770000000001</v>
      </c>
      <c r="C225" s="1" t="n">
        <v>34.251</v>
      </c>
      <c r="D225" s="1" t="n">
        <v>180</v>
      </c>
      <c r="E225" s="1" t="n">
        <v>1110276</v>
      </c>
      <c r="F225" s="1" t="inlineStr">
        <is>
          <t>Resistor,0R,5%,1/16W,0402(1005)</t>
        </is>
      </c>
    </row>
    <row r="226">
      <c r="A226" s="1" t="inlineStr">
        <is>
          <t>R315</t>
        </is>
      </c>
      <c r="B226" s="1" t="n">
        <v>49.0477</v>
      </c>
      <c r="C226" s="1" t="n">
        <v>63.201</v>
      </c>
      <c r="D226" s="1" t="n">
        <v>90</v>
      </c>
      <c r="E226" s="1" t="n">
        <v>1110276</v>
      </c>
      <c r="F226" s="1" t="inlineStr">
        <is>
          <t>Resistor,0R,5%,1/16W,0402(1005)</t>
        </is>
      </c>
    </row>
    <row r="227">
      <c r="A227" s="1" t="inlineStr">
        <is>
          <t>R316</t>
        </is>
      </c>
      <c r="B227" s="1" t="n">
        <v>47.7477</v>
      </c>
      <c r="C227" s="1" t="n">
        <v>63.201</v>
      </c>
      <c r="D227" s="1" t="n">
        <v>90</v>
      </c>
      <c r="E227" s="1" t="n">
        <v>1110276</v>
      </c>
      <c r="F227" s="1" t="inlineStr">
        <is>
          <t>Resistor,0R,5%,1/16W,0402(1005)</t>
        </is>
      </c>
    </row>
    <row r="228">
      <c r="A228" s="1" t="inlineStr">
        <is>
          <t>R330</t>
        </is>
      </c>
      <c r="B228" s="1" t="n">
        <v>103.1477</v>
      </c>
      <c r="C228" s="1" t="n">
        <v>71.83450000000001</v>
      </c>
      <c r="D228" s="1" t="n">
        <v>270</v>
      </c>
      <c r="E228" s="1" t="n">
        <v>1110364</v>
      </c>
      <c r="F228" s="1" t="inlineStr">
        <is>
          <t>Resistor,1.8K,5%,1/4W,1206(3216)</t>
        </is>
      </c>
    </row>
    <row r="229">
      <c r="A229" s="1" t="inlineStr">
        <is>
          <t>R331</t>
        </is>
      </c>
      <c r="B229" s="1" t="n">
        <v>100.8977</v>
      </c>
      <c r="C229" s="1" t="n">
        <v>70.551</v>
      </c>
      <c r="D229" s="1" t="n">
        <v>90</v>
      </c>
      <c r="E229" s="1" t="n">
        <v>1110576</v>
      </c>
      <c r="F229" s="1" t="inlineStr">
        <is>
          <t>Resistor,22K,5%,1/16W,0402(1005)</t>
        </is>
      </c>
    </row>
    <row r="230">
      <c r="A230" s="1" t="inlineStr">
        <is>
          <t>R332</t>
        </is>
      </c>
      <c r="B230" s="1" t="n">
        <v>100.3477</v>
      </c>
      <c r="C230" s="1" t="n">
        <v>73.751</v>
      </c>
      <c r="D230" s="1" t="n">
        <v>180</v>
      </c>
      <c r="E230" s="1" t="n">
        <v>1110576</v>
      </c>
      <c r="F230" s="1" t="inlineStr">
        <is>
          <t>Resistor,22K,5%,1/16W,0402(1005)</t>
        </is>
      </c>
    </row>
    <row r="231">
      <c r="A231" s="1" t="inlineStr">
        <is>
          <t>R351</t>
        </is>
      </c>
      <c r="B231" s="1" t="n">
        <v>23.5147</v>
      </c>
      <c r="C231" s="1" t="n">
        <v>108.451</v>
      </c>
      <c r="D231" s="1" t="n">
        <v>180</v>
      </c>
      <c r="E231" s="1" t="n">
        <v>1110576</v>
      </c>
      <c r="F231" s="1" t="inlineStr">
        <is>
          <t>Resistor,22K,5%,1/16W,0402(1005)</t>
        </is>
      </c>
    </row>
    <row r="232">
      <c r="A232" s="1" t="inlineStr">
        <is>
          <t>R352</t>
        </is>
      </c>
      <c r="B232" s="1" t="n">
        <v>22.2813</v>
      </c>
      <c r="C232" s="1" t="n">
        <v>112.751</v>
      </c>
      <c r="D232" s="1" t="n">
        <v>180</v>
      </c>
      <c r="E232" s="1" t="n">
        <v>1110284</v>
      </c>
      <c r="F232" s="1" t="inlineStr">
        <is>
          <t>Resistor,1.2K,5%,1/4W,1206(3216)</t>
        </is>
      </c>
    </row>
    <row r="233">
      <c r="A233" s="1" t="inlineStr">
        <is>
          <t>R353</t>
        </is>
      </c>
      <c r="B233" s="1" t="n">
        <v>23.5147</v>
      </c>
      <c r="C233" s="1" t="n">
        <v>107.1385</v>
      </c>
      <c r="D233" s="1" t="n">
        <v>360</v>
      </c>
      <c r="E233" s="1" t="n">
        <v>1110576</v>
      </c>
      <c r="F233" s="1" t="inlineStr">
        <is>
          <t>Resistor,22K,5%,1/16W,0402(1005)</t>
        </is>
      </c>
    </row>
    <row r="234">
      <c r="A234" s="1" t="inlineStr">
        <is>
          <t>R357</t>
        </is>
      </c>
      <c r="B234" s="1" t="n">
        <v>37.9477</v>
      </c>
      <c r="C234" s="1" t="n">
        <v>110.901</v>
      </c>
      <c r="D234" s="1" t="n">
        <v>360</v>
      </c>
      <c r="E234" s="1" t="n">
        <v>1110576</v>
      </c>
      <c r="F234" s="1" t="inlineStr">
        <is>
          <t>Resistor,22K,5%,1/16W,0402(1005)</t>
        </is>
      </c>
    </row>
    <row r="235">
      <c r="A235" s="1" t="inlineStr">
        <is>
          <t>R358</t>
        </is>
      </c>
      <c r="B235" s="1" t="n">
        <v>38.7812</v>
      </c>
      <c r="C235" s="1" t="n">
        <v>112.801</v>
      </c>
      <c r="D235" s="1" t="n">
        <v>360</v>
      </c>
      <c r="E235" s="1" t="n">
        <v>1110284</v>
      </c>
      <c r="F235" s="1" t="inlineStr">
        <is>
          <t>Resistor,1.2K,5%,1/4W,1206(3216)</t>
        </is>
      </c>
    </row>
    <row r="236">
      <c r="A236" s="1" t="inlineStr">
        <is>
          <t>R359</t>
        </is>
      </c>
      <c r="B236" s="1" t="n">
        <v>37.9477</v>
      </c>
      <c r="C236" s="1" t="n">
        <v>109.601</v>
      </c>
      <c r="D236" s="1" t="n">
        <v>180</v>
      </c>
      <c r="E236" s="1" t="n">
        <v>1110576</v>
      </c>
      <c r="F236" s="1" t="inlineStr">
        <is>
          <t>Resistor,22K,5%,1/16W,0402(1005)</t>
        </is>
      </c>
    </row>
    <row r="237">
      <c r="A237" s="1" t="inlineStr">
        <is>
          <t>R360</t>
        </is>
      </c>
      <c r="B237" s="1" t="n">
        <v>34.8477</v>
      </c>
      <c r="C237" s="1" t="n">
        <v>110.901</v>
      </c>
      <c r="D237" s="1" t="n">
        <v>180</v>
      </c>
      <c r="E237" s="1" t="n">
        <v>1110576</v>
      </c>
      <c r="F237" s="1" t="inlineStr">
        <is>
          <t>Resistor,22K,5%,1/16W,0402(1005)</t>
        </is>
      </c>
    </row>
    <row r="238">
      <c r="A238" s="1" t="inlineStr">
        <is>
          <t>R361</t>
        </is>
      </c>
      <c r="B238" s="1" t="n">
        <v>34.0143</v>
      </c>
      <c r="C238" s="1" t="n">
        <v>112.801</v>
      </c>
      <c r="D238" s="1" t="n">
        <v>180</v>
      </c>
      <c r="E238" s="1" t="n">
        <v>1110284</v>
      </c>
      <c r="F238" s="1" t="inlineStr">
        <is>
          <t>Resistor,1.2K,5%,1/4W,1206(3216)</t>
        </is>
      </c>
    </row>
    <row r="239">
      <c r="A239" s="1" t="inlineStr">
        <is>
          <t>R362</t>
        </is>
      </c>
      <c r="B239" s="1" t="n">
        <v>34.8477</v>
      </c>
      <c r="C239" s="1" t="n">
        <v>109.601</v>
      </c>
      <c r="D239" s="1" t="n">
        <v>360</v>
      </c>
      <c r="E239" s="1" t="n">
        <v>1110576</v>
      </c>
      <c r="F239" s="1" t="inlineStr">
        <is>
          <t>Resistor,22K,5%,1/16W,0402(1005)</t>
        </is>
      </c>
    </row>
    <row r="240">
      <c r="A240" s="1" t="inlineStr">
        <is>
          <t>R363</t>
        </is>
      </c>
      <c r="B240" s="1" t="n">
        <v>18.7977</v>
      </c>
      <c r="C240" s="1" t="n">
        <v>110.851</v>
      </c>
      <c r="D240" s="1" t="n">
        <v>180</v>
      </c>
      <c r="E240" s="1" t="n">
        <v>1110576</v>
      </c>
      <c r="F240" s="1" t="inlineStr">
        <is>
          <t>Resistor,22K,5%,1/16W,0402(1005)</t>
        </is>
      </c>
    </row>
    <row r="241">
      <c r="A241" s="1" t="inlineStr">
        <is>
          <t>R364</t>
        </is>
      </c>
      <c r="B241" s="1" t="n">
        <v>17.6143</v>
      </c>
      <c r="C241" s="1" t="n">
        <v>112.751</v>
      </c>
      <c r="D241" s="1" t="n">
        <v>180</v>
      </c>
      <c r="E241" s="1" t="n">
        <v>1110284</v>
      </c>
      <c r="F241" s="1" t="inlineStr">
        <is>
          <t>Resistor,1.2K,5%,1/4W,1206(3216)</t>
        </is>
      </c>
    </row>
    <row r="242">
      <c r="A242" s="1" t="inlineStr">
        <is>
          <t>R365</t>
        </is>
      </c>
      <c r="B242" s="1" t="n">
        <v>18.7977</v>
      </c>
      <c r="C242" s="1" t="n">
        <v>109.551</v>
      </c>
      <c r="D242" s="1" t="n">
        <v>360</v>
      </c>
      <c r="E242" s="1" t="n">
        <v>1110576</v>
      </c>
      <c r="F242" s="1" t="inlineStr">
        <is>
          <t>Resistor,22K,5%,1/16W,0402(1005)</t>
        </is>
      </c>
    </row>
    <row r="243">
      <c r="A243" s="1" t="inlineStr">
        <is>
          <t>R381</t>
        </is>
      </c>
      <c r="B243" s="1" t="n">
        <v>41.853</v>
      </c>
      <c r="C243" s="1" t="n">
        <v>74.8058</v>
      </c>
      <c r="D243" s="1" t="n">
        <v>270</v>
      </c>
      <c r="E243" s="1" t="n">
        <v>1110576</v>
      </c>
      <c r="F243" s="1" t="inlineStr">
        <is>
          <t>Resistor,22K,5%,1/16W,0402(1005)</t>
        </is>
      </c>
    </row>
    <row r="244">
      <c r="A244" s="1" t="inlineStr">
        <is>
          <t>R405</t>
        </is>
      </c>
      <c r="B244" s="1" t="n">
        <v>115.8977</v>
      </c>
      <c r="C244" s="1" t="n">
        <v>67.956</v>
      </c>
      <c r="D244" s="1" t="n">
        <v>90</v>
      </c>
      <c r="E244" s="1" t="n">
        <v>1110276</v>
      </c>
      <c r="F244" s="1" t="inlineStr">
        <is>
          <t>Resistor,0R,5%,1/16W,0402(1005)</t>
        </is>
      </c>
    </row>
    <row r="245">
      <c r="A245" s="1" t="inlineStr">
        <is>
          <t>R407</t>
        </is>
      </c>
      <c r="B245" s="1" t="n">
        <v>113.4477</v>
      </c>
      <c r="C245" s="1" t="n">
        <v>71.83450000000001</v>
      </c>
      <c r="D245" s="1" t="n">
        <v>270</v>
      </c>
      <c r="E245" s="1" t="n">
        <v>1110284</v>
      </c>
      <c r="F245" s="1" t="inlineStr">
        <is>
          <t>Resistor,1.2K,5%,1/4W,1206(3216)</t>
        </is>
      </c>
    </row>
    <row r="246">
      <c r="A246" s="1" t="inlineStr">
        <is>
          <t>R408</t>
        </is>
      </c>
      <c r="B246" s="1" t="n">
        <v>114.5477</v>
      </c>
      <c r="C246" s="1" t="n">
        <v>67.956</v>
      </c>
      <c r="D246" s="1" t="n">
        <v>270</v>
      </c>
      <c r="E246" s="1" t="n">
        <v>1110576</v>
      </c>
      <c r="F246" s="1" t="inlineStr">
        <is>
          <t>Resistor,22K,5%,1/16W,0402(1005)</t>
        </is>
      </c>
    </row>
    <row r="247">
      <c r="A247" s="1" t="inlineStr">
        <is>
          <t>R409</t>
        </is>
      </c>
      <c r="B247" s="1" t="n">
        <v>113.2477</v>
      </c>
      <c r="C247" s="1" t="n">
        <v>66.85599999999999</v>
      </c>
      <c r="D247" s="1" t="n">
        <v>270</v>
      </c>
      <c r="E247" s="1" t="n">
        <v>1110576</v>
      </c>
      <c r="F247" s="1" t="inlineStr">
        <is>
          <t>Resistor,22K,5%,1/16W,0402(1005)</t>
        </is>
      </c>
    </row>
    <row r="248">
      <c r="A248" s="1" t="inlineStr">
        <is>
          <t>R410</t>
        </is>
      </c>
      <c r="B248" s="1" t="n">
        <v>108.5977</v>
      </c>
      <c r="C248" s="1" t="n">
        <v>67.956</v>
      </c>
      <c r="D248" s="1" t="n">
        <v>90</v>
      </c>
      <c r="E248" s="1" t="n">
        <v>1110276</v>
      </c>
      <c r="F248" s="1" t="inlineStr">
        <is>
          <t>Resistor,0R,5%,1/16W,0402(1005)</t>
        </is>
      </c>
    </row>
    <row r="249">
      <c r="A249" s="1" t="inlineStr">
        <is>
          <t>R411</t>
        </is>
      </c>
      <c r="B249" s="1" t="n">
        <v>106.0477</v>
      </c>
      <c r="C249" s="1" t="n">
        <v>71.83450000000001</v>
      </c>
      <c r="D249" s="1" t="n">
        <v>270</v>
      </c>
      <c r="E249" s="1" t="n">
        <v>1110284</v>
      </c>
      <c r="F249" s="1" t="inlineStr">
        <is>
          <t>Resistor,1.2K,5%,1/4W,1206(3216)</t>
        </is>
      </c>
    </row>
    <row r="250">
      <c r="A250" s="1" t="inlineStr">
        <is>
          <t>R413</t>
        </is>
      </c>
      <c r="B250" s="1" t="n">
        <v>107.2977</v>
      </c>
      <c r="C250" s="1" t="n">
        <v>67.956</v>
      </c>
      <c r="D250" s="1" t="n">
        <v>270</v>
      </c>
      <c r="E250" s="1" t="n">
        <v>1110576</v>
      </c>
      <c r="F250" s="1" t="inlineStr">
        <is>
          <t>Resistor,22K,5%,1/16W,0402(1005)</t>
        </is>
      </c>
    </row>
    <row r="251">
      <c r="A251" s="1" t="inlineStr">
        <is>
          <t>R414</t>
        </is>
      </c>
      <c r="B251" s="1" t="n">
        <v>105.9977</v>
      </c>
      <c r="C251" s="1" t="n">
        <v>66.85599999999999</v>
      </c>
      <c r="D251" s="1" t="n">
        <v>270</v>
      </c>
      <c r="E251" s="1" t="n">
        <v>1110576</v>
      </c>
      <c r="F251" s="1" t="inlineStr">
        <is>
          <t>Resistor,22K,5%,1/16W,0402(1005)</t>
        </is>
      </c>
    </row>
    <row r="252">
      <c r="A252" s="1" t="inlineStr">
        <is>
          <t>R416</t>
        </is>
      </c>
      <c r="B252" s="1" t="n">
        <v>8.575200000000001</v>
      </c>
      <c r="C252" s="1" t="n">
        <v>19.7675</v>
      </c>
      <c r="D252" s="1" t="n">
        <v>90</v>
      </c>
      <c r="E252" s="1" t="n">
        <v>1110364</v>
      </c>
      <c r="F252" s="1" t="inlineStr">
        <is>
          <t>Resistor,1.8K,5%,1/4W,1206(3216)</t>
        </is>
      </c>
    </row>
    <row r="253">
      <c r="A253" s="1" t="inlineStr">
        <is>
          <t>R418</t>
        </is>
      </c>
      <c r="B253" s="1" t="n">
        <v>10.5752</v>
      </c>
      <c r="C253" s="1" t="n">
        <v>20.601</v>
      </c>
      <c r="D253" s="1" t="n">
        <v>270</v>
      </c>
      <c r="E253" s="1" t="n">
        <v>1110576</v>
      </c>
      <c r="F253" s="1" t="inlineStr">
        <is>
          <t>Resistor,22K,5%,1/16W,0402(1005)</t>
        </is>
      </c>
    </row>
    <row r="254">
      <c r="A254" s="1" t="inlineStr">
        <is>
          <t>R421</t>
        </is>
      </c>
      <c r="B254" s="1" t="n">
        <v>18.7977</v>
      </c>
      <c r="C254" s="1" t="n">
        <v>19.7675</v>
      </c>
      <c r="D254" s="1" t="n">
        <v>90</v>
      </c>
      <c r="E254" s="1" t="n">
        <v>1110277</v>
      </c>
      <c r="F254" s="1" t="inlineStr">
        <is>
          <t>Resistor,0R,5%,1/4W,1206(3216)</t>
        </is>
      </c>
    </row>
    <row r="255">
      <c r="A255" s="1" t="inlineStr">
        <is>
          <t>R423</t>
        </is>
      </c>
      <c r="B255" s="1" t="n">
        <v>20.7977</v>
      </c>
      <c r="C255" s="1" t="n">
        <v>20.601</v>
      </c>
      <c r="D255" s="1" t="n">
        <v>270</v>
      </c>
      <c r="E255" s="1" t="n">
        <v>1110577</v>
      </c>
      <c r="F255" s="1" t="inlineStr">
        <is>
          <t>Resistor,27K,1%,1/16W,0402(1005)</t>
        </is>
      </c>
    </row>
    <row r="256">
      <c r="A256" s="1" t="inlineStr">
        <is>
          <t>R426</t>
        </is>
      </c>
      <c r="B256" s="1" t="n">
        <v>54.4312</v>
      </c>
      <c r="C256" s="1" t="n">
        <v>37.751</v>
      </c>
      <c r="D256" s="1" t="n">
        <v>180</v>
      </c>
      <c r="E256" s="1" t="n">
        <v>1110364</v>
      </c>
      <c r="F256" s="1" t="inlineStr">
        <is>
          <t>Resistor,1.8K,5%,1/4W,1206(3216)</t>
        </is>
      </c>
    </row>
    <row r="257">
      <c r="A257" s="1" t="inlineStr">
        <is>
          <t>R428</t>
        </is>
      </c>
      <c r="B257" s="1" t="n">
        <v>54.1477</v>
      </c>
      <c r="C257" s="1" t="n">
        <v>39.751</v>
      </c>
      <c r="D257" s="1" t="n">
        <v>360</v>
      </c>
      <c r="E257" s="1" t="n">
        <v>1110576</v>
      </c>
      <c r="F257" s="1" t="inlineStr">
        <is>
          <t>Resistor,22K,5%,1/16W,0402(1005)</t>
        </is>
      </c>
    </row>
    <row r="258">
      <c r="A258" s="1" t="inlineStr">
        <is>
          <t>R431</t>
        </is>
      </c>
      <c r="B258" s="1" t="n">
        <v>54.4143</v>
      </c>
      <c r="C258" s="1" t="n">
        <v>43.601</v>
      </c>
      <c r="D258" s="1" t="n">
        <v>180</v>
      </c>
      <c r="E258" s="1" t="n">
        <v>1110364</v>
      </c>
      <c r="F258" s="1" t="inlineStr">
        <is>
          <t>Resistor,1.8K,5%,1/4W,1206(3216)</t>
        </is>
      </c>
    </row>
    <row r="259">
      <c r="A259" s="1" t="inlineStr">
        <is>
          <t>R433</t>
        </is>
      </c>
      <c r="B259" s="1" t="n">
        <v>54.1477</v>
      </c>
      <c r="C259" s="1" t="n">
        <v>41.601</v>
      </c>
      <c r="D259" s="1" t="n">
        <v>360</v>
      </c>
      <c r="E259" s="1" t="n">
        <v>1110576</v>
      </c>
      <c r="F259" s="1" t="inlineStr">
        <is>
          <t>Resistor,22K,5%,1/16W,0402(1005)</t>
        </is>
      </c>
    </row>
    <row r="260">
      <c r="A260" s="1" t="inlineStr">
        <is>
          <t>R434</t>
        </is>
      </c>
      <c r="B260" s="1" t="n">
        <v>41.853</v>
      </c>
      <c r="C260" s="1" t="n">
        <v>77.72839999999999</v>
      </c>
      <c r="D260" s="1" t="n">
        <v>90</v>
      </c>
      <c r="E260" s="1" t="n">
        <v>1110576</v>
      </c>
      <c r="F260" s="1" t="inlineStr">
        <is>
          <t>Resistor,22K,5%,1/16W,0402(1005)</t>
        </is>
      </c>
    </row>
    <row r="261">
      <c r="A261" s="1" t="inlineStr">
        <is>
          <t>R436</t>
        </is>
      </c>
      <c r="B261" s="1" t="n">
        <v>28.3477</v>
      </c>
      <c r="C261" s="1" t="n">
        <v>19.7845</v>
      </c>
      <c r="D261" s="1" t="n">
        <v>90</v>
      </c>
      <c r="E261" s="1" t="n">
        <v>1110364</v>
      </c>
      <c r="F261" s="1" t="inlineStr">
        <is>
          <t>Resistor,1.8K,5%,1/4W,1206(3216)</t>
        </is>
      </c>
    </row>
    <row r="262">
      <c r="A262" s="1" t="inlineStr">
        <is>
          <t>R438</t>
        </is>
      </c>
      <c r="B262" s="1" t="n">
        <v>30.3477</v>
      </c>
      <c r="C262" s="1" t="n">
        <v>20.6179</v>
      </c>
      <c r="D262" s="1" t="n">
        <v>270</v>
      </c>
      <c r="E262" s="1" t="n">
        <v>1110576</v>
      </c>
      <c r="F262" s="1" t="inlineStr">
        <is>
          <t>Resistor,22K,5%,1/16W,0402(1005)</t>
        </is>
      </c>
    </row>
    <row r="263">
      <c r="A263" s="1" t="inlineStr">
        <is>
          <t>R440</t>
        </is>
      </c>
      <c r="B263" s="1" t="n">
        <v>25.27</v>
      </c>
      <c r="C263" s="1" t="n">
        <v>24.201</v>
      </c>
      <c r="D263" s="1" t="n">
        <v>180</v>
      </c>
      <c r="E263" s="1" t="n">
        <v>1110276</v>
      </c>
      <c r="F263" s="1" t="inlineStr">
        <is>
          <t>Resistor,0R,5%,1/16W,0402(1005)</t>
        </is>
      </c>
    </row>
    <row r="264">
      <c r="A264" s="1" t="inlineStr">
        <is>
          <t>R442</t>
        </is>
      </c>
      <c r="B264" s="1" t="n">
        <v>25.27</v>
      </c>
      <c r="C264" s="1" t="n">
        <v>22.901</v>
      </c>
      <c r="D264" s="1" t="n">
        <v>180</v>
      </c>
      <c r="E264" s="1" t="n">
        <v>1101075</v>
      </c>
      <c r="F264" s="1" t="inlineStr">
        <is>
          <t>Resistor,2.7K,1%,1/16W,0402(1005)</t>
        </is>
      </c>
    </row>
    <row r="265">
      <c r="A265" s="1" t="inlineStr">
        <is>
          <t>R443</t>
        </is>
      </c>
      <c r="B265" s="1" t="n">
        <v>25.59</v>
      </c>
      <c r="C265" s="1" t="n">
        <v>20.601</v>
      </c>
      <c r="D265" s="1" t="n">
        <v>270</v>
      </c>
      <c r="E265" s="1" t="n">
        <v>1110576</v>
      </c>
      <c r="F265" s="1" t="inlineStr">
        <is>
          <t>Resistor,22K,5%,1/16W,0402(1005)</t>
        </is>
      </c>
    </row>
    <row r="266">
      <c r="A266" s="1" t="inlineStr">
        <is>
          <t>R446</t>
        </is>
      </c>
      <c r="B266" s="1" t="n">
        <v>14.0477</v>
      </c>
      <c r="C266" s="1" t="n">
        <v>19.7675</v>
      </c>
      <c r="D266" s="1" t="n">
        <v>90</v>
      </c>
      <c r="E266" s="1" t="n">
        <v>1110364</v>
      </c>
      <c r="F266" s="1" t="inlineStr">
        <is>
          <t>Resistor,1.8K,5%,1/4W,1206(3216)</t>
        </is>
      </c>
    </row>
    <row r="267">
      <c r="A267" s="1" t="inlineStr">
        <is>
          <t>R448</t>
        </is>
      </c>
      <c r="B267" s="1" t="n">
        <v>16.0477</v>
      </c>
      <c r="C267" s="1" t="n">
        <v>20.601</v>
      </c>
      <c r="D267" s="1" t="n">
        <v>270</v>
      </c>
      <c r="E267" s="1" t="n">
        <v>1110576</v>
      </c>
      <c r="F267" s="1" t="inlineStr">
        <is>
          <t>Resistor,22K,5%,1/16W,0402(1005)</t>
        </is>
      </c>
    </row>
    <row r="268">
      <c r="A268" s="1" t="inlineStr">
        <is>
          <t>R450</t>
        </is>
      </c>
      <c r="B268" s="1" t="n">
        <v>44.5215</v>
      </c>
      <c r="C268" s="1" t="n">
        <v>74.8058</v>
      </c>
      <c r="D268" s="1" t="n">
        <v>270</v>
      </c>
      <c r="E268" s="1" t="n">
        <v>1110703</v>
      </c>
      <c r="F268" s="1" t="inlineStr">
        <is>
          <t>Resistor,10K,5%,1/16W,0402(1005)</t>
        </is>
      </c>
    </row>
    <row r="269">
      <c r="A269" s="1" t="inlineStr">
        <is>
          <t>R451</t>
        </is>
      </c>
      <c r="B269" s="1" t="n">
        <v>77.6477</v>
      </c>
      <c r="C269" s="1" t="n">
        <v>93.95099999999999</v>
      </c>
      <c r="D269" s="1" t="n">
        <v>360</v>
      </c>
      <c r="E269" s="1" t="n">
        <v>1110581</v>
      </c>
      <c r="F269" s="1" t="inlineStr">
        <is>
          <t>Resistor,4.7K,5%,1/16W,0402(1005)</t>
        </is>
      </c>
    </row>
    <row r="270">
      <c r="A270" s="1" t="inlineStr">
        <is>
          <t>R453</t>
        </is>
      </c>
      <c r="B270" s="1" t="n">
        <v>77.6477</v>
      </c>
      <c r="C270" s="1" t="n">
        <v>91.45099999999999</v>
      </c>
      <c r="D270" s="1" t="n">
        <v>180</v>
      </c>
      <c r="E270" s="1" t="n">
        <v>1110582</v>
      </c>
      <c r="F270" s="1" t="inlineStr">
        <is>
          <t>Resistor,470,5%,1/16W,0402(1005)</t>
        </is>
      </c>
    </row>
    <row r="271">
      <c r="A271" s="1" t="inlineStr">
        <is>
          <t>R454</t>
        </is>
      </c>
      <c r="B271" s="1" t="n">
        <v>71.4481</v>
      </c>
      <c r="C271" s="1" t="n">
        <v>105.751</v>
      </c>
      <c r="D271" s="1" t="n">
        <v>270</v>
      </c>
      <c r="E271" s="1" t="n">
        <v>1110700</v>
      </c>
      <c r="F271" s="1" t="inlineStr">
        <is>
          <t>Resistor,100K,5%,1/16W,0402(1005)</t>
        </is>
      </c>
    </row>
    <row r="272">
      <c r="A272" s="1" t="inlineStr">
        <is>
          <t>R455</t>
        </is>
      </c>
      <c r="B272" s="1" t="n">
        <v>123.7977</v>
      </c>
      <c r="C272" s="1" t="n">
        <v>98.741</v>
      </c>
      <c r="D272" s="1" t="n">
        <v>90</v>
      </c>
      <c r="E272" s="1" t="n">
        <v>1110581</v>
      </c>
      <c r="F272" s="1" t="inlineStr">
        <is>
          <t>Resistor,4.7K,5%,1/16W,0402(1005)</t>
        </is>
      </c>
    </row>
    <row r="273">
      <c r="A273" s="1" t="inlineStr">
        <is>
          <t>R456</t>
        </is>
      </c>
      <c r="B273" s="1" t="n">
        <v>6.3476</v>
      </c>
      <c r="C273" s="1" t="n">
        <v>105.651</v>
      </c>
      <c r="D273" s="1" t="n">
        <v>90</v>
      </c>
      <c r="E273" s="1" t="n">
        <v>1110276</v>
      </c>
      <c r="F273" s="1" t="inlineStr">
        <is>
          <t>Resistor,0R,5%,1/16W,0402(1005)</t>
        </is>
      </c>
    </row>
    <row r="274">
      <c r="A274" s="1" t="inlineStr">
        <is>
          <t>R458</t>
        </is>
      </c>
      <c r="B274" s="1" t="n">
        <v>8.947699999999999</v>
      </c>
      <c r="C274" s="1" t="n">
        <v>105.651</v>
      </c>
      <c r="D274" s="1" t="n">
        <v>270</v>
      </c>
      <c r="E274" s="1" t="n">
        <v>1110727</v>
      </c>
      <c r="F274" s="1" t="inlineStr">
        <is>
          <t>Resistor,33K,5%,1/16W,0402(1005)</t>
        </is>
      </c>
    </row>
    <row r="275">
      <c r="A275" s="1" t="inlineStr">
        <is>
          <t>R459</t>
        </is>
      </c>
      <c r="B275" s="1" t="n">
        <v>7.6476</v>
      </c>
      <c r="C275" s="1" t="n">
        <v>108.051</v>
      </c>
      <c r="D275" s="1" t="n">
        <v>90</v>
      </c>
      <c r="E275" s="1" t="n">
        <v>1101080</v>
      </c>
      <c r="F275" s="1" t="inlineStr">
        <is>
          <t>Resistor,6.2K,5%,1/16W,0402(1005)</t>
        </is>
      </c>
    </row>
    <row r="276">
      <c r="A276" s="1" t="inlineStr">
        <is>
          <t>R460</t>
        </is>
      </c>
      <c r="B276" s="1" t="n">
        <v>8.947699999999999</v>
      </c>
      <c r="C276" s="1" t="n">
        <v>108.051</v>
      </c>
      <c r="D276" s="1" t="n">
        <v>90</v>
      </c>
      <c r="E276" s="1" t="n">
        <v>1101077</v>
      </c>
      <c r="F276" s="1" t="inlineStr">
        <is>
          <t>Resistor,390K,1%,1/16W,0402(1005)</t>
        </is>
      </c>
    </row>
    <row r="277">
      <c r="A277" s="1" t="inlineStr">
        <is>
          <t>R461</t>
        </is>
      </c>
      <c r="B277" s="1" t="n">
        <v>10.7977</v>
      </c>
      <c r="C277" s="1" t="n">
        <v>103.801</v>
      </c>
      <c r="D277" s="1" t="n">
        <v>360</v>
      </c>
      <c r="E277" s="1" t="n">
        <v>1110703</v>
      </c>
      <c r="F277" s="1" t="inlineStr">
        <is>
          <t>Resistor,10K,5%,1/16W,0402(1005)</t>
        </is>
      </c>
    </row>
    <row r="278">
      <c r="A278" s="1" t="inlineStr">
        <is>
          <t>R462</t>
        </is>
      </c>
      <c r="B278" s="1" t="n">
        <v>8.1976</v>
      </c>
      <c r="C278" s="1" t="n">
        <v>109.901</v>
      </c>
      <c r="D278" s="1" t="n">
        <v>360</v>
      </c>
      <c r="E278" s="1" t="n">
        <v>1110707</v>
      </c>
      <c r="F278" s="1" t="inlineStr">
        <is>
          <t>Resistor,1K,5%,1/16W,0402(1005)</t>
        </is>
      </c>
    </row>
    <row r="279">
      <c r="A279" s="1" t="inlineStr">
        <is>
          <t>R463</t>
        </is>
      </c>
      <c r="B279" s="1" t="n">
        <v>12.6977</v>
      </c>
      <c r="C279" s="1" t="n">
        <v>109.351</v>
      </c>
      <c r="D279" s="1" t="n">
        <v>90</v>
      </c>
      <c r="E279" s="1" t="n">
        <v>1110585</v>
      </c>
      <c r="F279" s="1" t="inlineStr">
        <is>
          <t>Resistor,100K,1%,1/16W,0402(1005)</t>
        </is>
      </c>
    </row>
    <row r="280">
      <c r="A280" s="1" t="inlineStr">
        <is>
          <t>R464</t>
        </is>
      </c>
      <c r="B280" s="1" t="n">
        <v>7.2977</v>
      </c>
      <c r="C280" s="1" t="n">
        <v>112.501</v>
      </c>
      <c r="D280" s="1" t="n">
        <v>90</v>
      </c>
      <c r="E280" s="1" t="n">
        <v>1101077</v>
      </c>
      <c r="F280" s="1" t="inlineStr">
        <is>
          <t>Resistor,390K,1%,1/16W,0402(1005)</t>
        </is>
      </c>
    </row>
    <row r="281">
      <c r="A281" s="1" t="inlineStr">
        <is>
          <t>R465</t>
        </is>
      </c>
      <c r="B281" s="1" t="n">
        <v>8.547700000000001</v>
      </c>
      <c r="C281" s="1" t="n">
        <v>112.501</v>
      </c>
      <c r="D281" s="1" t="n">
        <v>90</v>
      </c>
      <c r="E281" s="1" t="n">
        <v>1110707</v>
      </c>
      <c r="F281" s="1" t="inlineStr">
        <is>
          <t>Resistor,1K,5%,1/16W,0402(1005)</t>
        </is>
      </c>
    </row>
    <row r="282">
      <c r="A282" s="1" t="inlineStr">
        <is>
          <t>R466</t>
        </is>
      </c>
      <c r="B282" s="1" t="n">
        <v>51.0977</v>
      </c>
      <c r="C282" s="1" t="n">
        <v>111.734</v>
      </c>
      <c r="D282" s="1" t="n">
        <v>360</v>
      </c>
      <c r="E282" s="1" t="n">
        <v>1110274</v>
      </c>
      <c r="F282" s="1" t="inlineStr">
        <is>
          <t>Resistor,0R,5%,1/10W,0603(1608)</t>
        </is>
      </c>
    </row>
    <row r="283">
      <c r="A283" s="1" t="inlineStr">
        <is>
          <t>U101</t>
        </is>
      </c>
      <c r="B283" s="1" t="n">
        <v>97.79770000000001</v>
      </c>
      <c r="C283" s="1" t="n">
        <v>83.251</v>
      </c>
      <c r="D283" s="1" t="n">
        <v>180</v>
      </c>
      <c r="E283" s="1" t="n">
        <v>1111095</v>
      </c>
      <c r="F283" s="1" t="inlineStr">
        <is>
          <t>IC,SBC,PMIC + Interface,PG-VQFN-48</t>
        </is>
      </c>
    </row>
    <row r="284">
      <c r="A284" s="1" t="inlineStr">
        <is>
          <t>U105</t>
        </is>
      </c>
      <c r="B284" s="1" t="n">
        <v>95.4727</v>
      </c>
      <c r="C284" s="1" t="n">
        <v>105.676</v>
      </c>
      <c r="D284" s="1" t="n">
        <v>90</v>
      </c>
      <c r="E284" s="1" t="n">
        <v>1110506</v>
      </c>
      <c r="F284" s="1" t="inlineStr">
        <is>
          <t>IC,PMIC,Power Switch,High-Side,Smart,2CH,4.5A,28V,TSDSO-14</t>
        </is>
      </c>
    </row>
    <row r="285">
      <c r="A285" s="1" t="inlineStr">
        <is>
          <t>U106</t>
        </is>
      </c>
      <c r="B285" s="1" t="n">
        <v>84.2727</v>
      </c>
      <c r="C285" s="1" t="n">
        <v>105.676</v>
      </c>
      <c r="D285" s="1" t="n">
        <v>90</v>
      </c>
      <c r="E285" s="1" t="n">
        <v>1110506</v>
      </c>
      <c r="F285" s="1" t="inlineStr">
        <is>
          <t>IC,PMIC,Power Switch,High-Side,Smart,2CH,4.5A,28V,TSDSO-14</t>
        </is>
      </c>
    </row>
    <row r="286">
      <c r="A286" s="1" t="inlineStr">
        <is>
          <t>U107</t>
        </is>
      </c>
      <c r="B286" s="1" t="n">
        <v>106.6727</v>
      </c>
      <c r="C286" s="1" t="n">
        <v>105.676</v>
      </c>
      <c r="D286" s="1" t="n">
        <v>90</v>
      </c>
      <c r="E286" s="1" t="n">
        <v>1110506</v>
      </c>
      <c r="F286" s="1" t="inlineStr">
        <is>
          <t>IC,PMIC,Power Switch,High-Side,Smart,2CH,4.5A,28V,TSDSO-14</t>
        </is>
      </c>
    </row>
    <row r="287">
      <c r="A287" s="1" t="inlineStr">
        <is>
          <t>U113</t>
        </is>
      </c>
      <c r="B287" s="1" t="n">
        <v>62.922</v>
      </c>
      <c r="C287" s="1" t="n">
        <v>112.2367</v>
      </c>
      <c r="D287" s="1" t="n">
        <v>90</v>
      </c>
      <c r="E287" s="1" t="n">
        <v>1111063</v>
      </c>
      <c r="F287" s="1" t="inlineStr">
        <is>
          <t>IC,PMIC,Power Switch,Low-Side,7CH Darlington array,0.5A,50V,TSSOP-16</t>
        </is>
      </c>
    </row>
    <row r="288">
      <c r="A288" s="1" t="inlineStr">
        <is>
          <t>U115</t>
        </is>
      </c>
      <c r="B288" s="1" t="n">
        <v>122.4977</v>
      </c>
      <c r="C288" s="1" t="n">
        <v>145.722</v>
      </c>
      <c r="D288" s="1" t="n">
        <v>270</v>
      </c>
      <c r="E288" s="1" t="n">
        <v>1110484</v>
      </c>
      <c r="F288" s="1" t="inlineStr">
        <is>
          <t>IC,PMIC,Power Switch,Low-Side,Smart,1CH,3A,42V,SOT-223</t>
        </is>
      </c>
    </row>
    <row r="289">
      <c r="A289" s="1" t="inlineStr">
        <is>
          <t>U116</t>
        </is>
      </c>
      <c r="B289" s="1" t="n">
        <v>59.6477</v>
      </c>
      <c r="C289" s="1" t="n">
        <v>85.6049</v>
      </c>
      <c r="D289" s="1" t="n">
        <v>135</v>
      </c>
      <c r="E289" s="1" t="n">
        <v>1110519</v>
      </c>
      <c r="F289" s="1" t="inlineStr">
        <is>
          <t>IC,MCU,32-Bit Microcontroller,RH850/F1K,LFQFP-144</t>
        </is>
      </c>
    </row>
    <row r="290">
      <c r="A290" s="1" t="inlineStr">
        <is>
          <t>X100</t>
        </is>
      </c>
      <c r="B290" s="1" t="n">
        <v>74.24169999999999</v>
      </c>
      <c r="C290" s="1" t="n">
        <v>99.5278</v>
      </c>
      <c r="D290" s="1" t="n">
        <v>360</v>
      </c>
      <c r="E290" s="1" t="n">
        <v>1111096</v>
      </c>
      <c r="F290" s="1" t="inlineStr">
        <is>
          <t>Crystal, 20.000MHz,20PPM,20PPM,10P,60O,-40°C,85°C,3225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5"/>
  <sheetViews>
    <sheetView rightToLeft="1" workbookViewId="0">
      <selection activeCell="A20" sqref="A20"/>
    </sheetView>
  </sheetViews>
  <sheetFormatPr baseColWidth="8" defaultRowHeight="15"/>
  <cols>
    <col width="18.85546875" bestFit="1" customWidth="1" style="1" min="1" max="1"/>
    <col width="67.28515625" bestFit="1" customWidth="1" style="1" min="2" max="2"/>
    <col width="9.140625" customWidth="1" style="1" min="3" max="6"/>
    <col width="9.140625" customWidth="1" style="29" min="7" max="7"/>
    <col width="9.140625" customWidth="1" style="1" min="11" max="11"/>
  </cols>
  <sheetData>
    <row r="1">
      <c r="A1" s="1" t="inlineStr">
        <is>
          <t>SPCO Stock Number</t>
        </is>
      </c>
      <c r="B1" s="1" t="inlineStr">
        <is>
          <t>Description</t>
        </is>
      </c>
      <c r="C1" s="28" t="inlineStr">
        <is>
          <t>top</t>
        </is>
      </c>
      <c r="D1" s="28" t="inlineStr">
        <is>
          <t>bot</t>
        </is>
      </c>
      <c r="E1" s="1" t="inlineStr">
        <is>
          <t>total</t>
        </is>
      </c>
    </row>
    <row r="2" ht="25.5" customHeight="1">
      <c r="A2" s="1" t="n">
        <v>1110075</v>
      </c>
      <c r="B2" s="1" t="inlineStr">
        <is>
          <t>Capacitor, X7R,10N,50V,10%,0603(1608)</t>
        </is>
      </c>
      <c r="C2" s="30">
        <f>COUNTIFS(#REF!,Sheet1!A2,#REF!,Sheet1!$C$1)</f>
        <v/>
      </c>
      <c r="D2" s="30">
        <f>COUNTIFS(#REF!,Sheet1!A2,#REF!,Sheet1!$D$1)</f>
        <v/>
      </c>
      <c r="E2" s="1">
        <f>D2+C2</f>
        <v/>
      </c>
      <c r="F2" s="1">
        <f>_xlfn.XLOOKUP(A2,K:K,H:H,0,0)</f>
        <v/>
      </c>
      <c r="G2" s="29">
        <f>F2-E2</f>
        <v/>
      </c>
      <c r="H2" s="19" t="inlineStr">
        <is>
          <t>67</t>
        </is>
      </c>
      <c r="I2" s="18" t="inlineStr">
        <is>
          <t>According brand list</t>
        </is>
      </c>
      <c r="J2" s="18" t="inlineStr">
        <is>
          <t>1110075</t>
        </is>
      </c>
      <c r="K2" s="1" t="n">
        <v>1110075</v>
      </c>
      <c r="L2" t="n">
        <v>1</v>
      </c>
      <c r="M2" t="n">
        <v>1</v>
      </c>
    </row>
    <row r="3" ht="25.5" customHeight="1">
      <c r="A3" s="1" t="n">
        <v>1110101</v>
      </c>
      <c r="B3" s="1" t="inlineStr">
        <is>
          <t>Capacitor, X7R,47N,50V,10%,0603(1608)</t>
        </is>
      </c>
      <c r="C3" s="30">
        <f>COUNTIFS(#REF!,Sheet1!A3,#REF!,Sheet1!$C$1)</f>
        <v/>
      </c>
      <c r="D3" s="30">
        <f>COUNTIFS(#REF!,Sheet1!A3,#REF!,Sheet1!$D$1)</f>
        <v/>
      </c>
      <c r="E3" s="1">
        <f>D3+C3</f>
        <v/>
      </c>
      <c r="F3" s="1">
        <f>_xlfn.XLOOKUP(A3,K:K,H:H,0,0)</f>
        <v/>
      </c>
      <c r="G3" s="29">
        <f>F3-E3</f>
        <v/>
      </c>
      <c r="H3" s="19" t="inlineStr">
        <is>
          <t>93</t>
        </is>
      </c>
      <c r="I3" s="18" t="inlineStr">
        <is>
          <t>According brand list</t>
        </is>
      </c>
      <c r="J3" s="18" t="n">
        <v>1110101</v>
      </c>
      <c r="K3" s="1" t="n">
        <v>1110101</v>
      </c>
    </row>
    <row r="4" ht="25.5" customHeight="1">
      <c r="A4" s="1" t="n">
        <v>1110095</v>
      </c>
      <c r="B4" s="1" t="inlineStr">
        <is>
          <t>Capacitor, X7R,100N,50V,10%,0603(1608)</t>
        </is>
      </c>
      <c r="C4" s="30">
        <f>COUNTIFS(#REF!,Sheet1!A4,#REF!,Sheet1!$C$1)</f>
        <v/>
      </c>
      <c r="D4" s="30">
        <f>COUNTIFS(#REF!,Sheet1!A4,#REF!,Sheet1!$D$1)</f>
        <v/>
      </c>
      <c r="E4" s="1">
        <f>D4+C4</f>
        <v/>
      </c>
      <c r="F4" s="1">
        <f>_xlfn.XLOOKUP(A4,K:K,H:H,0,0)</f>
        <v/>
      </c>
      <c r="G4" s="29">
        <f>F4-E4</f>
        <v/>
      </c>
      <c r="H4" s="23" t="inlineStr">
        <is>
          <t>38</t>
        </is>
      </c>
      <c r="I4" s="18" t="inlineStr">
        <is>
          <t>According brand list</t>
        </is>
      </c>
      <c r="J4" s="18" t="inlineStr">
        <is>
          <t>1110095</t>
        </is>
      </c>
      <c r="K4" s="1" t="n">
        <v>1110095</v>
      </c>
    </row>
    <row r="5" ht="25.5" customHeight="1">
      <c r="A5" s="1" t="n">
        <v>1110109</v>
      </c>
      <c r="B5" s="1" t="inlineStr">
        <is>
          <t>Capacitor, NP0,68P,50V,5%,0603(1608)</t>
        </is>
      </c>
      <c r="C5" s="30">
        <f>COUNTIFS(#REF!,Sheet1!A5,#REF!,Sheet1!$C$1)</f>
        <v/>
      </c>
      <c r="D5" s="30">
        <f>COUNTIFS(#REF!,Sheet1!A5,#REF!,Sheet1!$D$1)</f>
        <v/>
      </c>
      <c r="E5" s="1">
        <f>D5+C5</f>
        <v/>
      </c>
      <c r="F5" s="1">
        <f>_xlfn.XLOOKUP(A5,K:K,H:H,0,0)</f>
        <v/>
      </c>
      <c r="G5" s="29">
        <f>F5-E5</f>
        <v/>
      </c>
      <c r="H5" s="23" t="inlineStr">
        <is>
          <t>5</t>
        </is>
      </c>
      <c r="I5" s="18" t="inlineStr">
        <is>
          <t>According brand list</t>
        </is>
      </c>
      <c r="J5" s="18" t="inlineStr">
        <is>
          <t>1110109</t>
        </is>
      </c>
      <c r="K5" s="1" t="n">
        <v>1110109</v>
      </c>
    </row>
    <row r="6" ht="25.5" customHeight="1">
      <c r="A6" s="28" t="n">
        <v>1110132</v>
      </c>
      <c r="B6" s="1" t="inlineStr">
        <is>
          <t>Capacitor, X7R,1N,50V,10%,0603(1608)</t>
        </is>
      </c>
      <c r="C6" s="30">
        <f>COUNTIFS(#REF!,Sheet1!A6,#REF!,Sheet1!$C$1)</f>
        <v/>
      </c>
      <c r="D6" s="30">
        <f>COUNTIFS(#REF!,Sheet1!A6,#REF!,Sheet1!$D$1)</f>
        <v/>
      </c>
      <c r="E6" s="1">
        <f>D6+C6</f>
        <v/>
      </c>
      <c r="F6" s="1">
        <f>_xlfn.XLOOKUP(A6,K:K,H:H,0,0)</f>
        <v/>
      </c>
      <c r="G6" s="29">
        <f>F6-E6</f>
        <v/>
      </c>
      <c r="H6" s="23" t="inlineStr">
        <is>
          <t>15</t>
        </is>
      </c>
      <c r="I6" s="18" t="inlineStr">
        <is>
          <t>According brand list</t>
        </is>
      </c>
      <c r="J6" s="18" t="inlineStr">
        <is>
          <t>1110132</t>
        </is>
      </c>
      <c r="K6" s="1" t="n">
        <v>1110132</v>
      </c>
    </row>
    <row r="7" ht="25.5" customHeight="1">
      <c r="A7" s="1" t="n">
        <v>1110099</v>
      </c>
      <c r="B7" s="1" t="inlineStr">
        <is>
          <t>Capacitor, NP0,22P,50V,5%,0603(1608)</t>
        </is>
      </c>
      <c r="C7" s="30">
        <f>COUNTIFS(#REF!,Sheet1!A7,#REF!,Sheet1!$C$1)</f>
        <v/>
      </c>
      <c r="D7" s="28">
        <f>COUNTIFS(#REF!,Sheet1!A7,#REF!,Sheet1!$D$1)</f>
        <v/>
      </c>
      <c r="E7" s="1">
        <f>D7+C7</f>
        <v/>
      </c>
      <c r="F7" s="1">
        <f>_xlfn.XLOOKUP(A7,K:K,H:H,0,0)</f>
        <v/>
      </c>
      <c r="G7" s="29">
        <f>F7-E7</f>
        <v/>
      </c>
      <c r="H7" s="23" t="inlineStr">
        <is>
          <t>1</t>
        </is>
      </c>
      <c r="I7" s="18" t="inlineStr">
        <is>
          <t>According brand list</t>
        </is>
      </c>
      <c r="J7" s="18" t="inlineStr">
        <is>
          <t>1110096</t>
        </is>
      </c>
      <c r="K7" s="1" t="n">
        <v>1110096</v>
      </c>
    </row>
    <row r="8" ht="25.5" customHeight="1">
      <c r="A8" s="1" t="n">
        <v>1110090</v>
      </c>
      <c r="B8" s="1" t="inlineStr">
        <is>
          <t>Capacitor, Electrolytic,220U,35V,20%,105°C,-40°C,D=10 , L&lt;10 , B=10.3</t>
        </is>
      </c>
      <c r="C8" s="30">
        <f>COUNTIFS(#REF!,Sheet1!A8,#REF!,Sheet1!$C$1)</f>
        <v/>
      </c>
      <c r="D8" s="28">
        <f>COUNTIFS(#REF!,Sheet1!A8,#REF!,Sheet1!$D$1)</f>
        <v/>
      </c>
      <c r="E8" s="1">
        <f>D8+C8</f>
        <v/>
      </c>
      <c r="F8" s="1">
        <f>_xlfn.XLOOKUP(A8,K:K,H:H,0,0)</f>
        <v/>
      </c>
      <c r="G8" s="29">
        <f>F8-E8</f>
        <v/>
      </c>
      <c r="H8" s="23" t="inlineStr">
        <is>
          <t>2</t>
        </is>
      </c>
      <c r="I8" s="18" t="inlineStr">
        <is>
          <t>According brand list</t>
        </is>
      </c>
      <c r="J8" s="18" t="inlineStr">
        <is>
          <t>1110099</t>
        </is>
      </c>
      <c r="K8" s="1" t="n">
        <v>1110099</v>
      </c>
    </row>
    <row r="9" ht="25.5" customHeight="1">
      <c r="A9" s="1" t="n">
        <v>1110105</v>
      </c>
      <c r="B9" s="1" t="inlineStr">
        <is>
          <t>Capacitor, Electrolytic,100U,16V,20%,105°C,-40°C,D&lt;6.3 , L&lt;7 , B=6.6</t>
        </is>
      </c>
      <c r="C9" s="30">
        <f>COUNTIFS(#REF!,Sheet1!A9,#REF!,Sheet1!$C$1)</f>
        <v/>
      </c>
      <c r="D9" s="28">
        <f>COUNTIFS(#REF!,Sheet1!A9,#REF!,Sheet1!$D$1)</f>
        <v/>
      </c>
      <c r="E9" s="1">
        <f>D9+C9</f>
        <v/>
      </c>
      <c r="F9" s="1">
        <f>_xlfn.XLOOKUP(A9,K:K,H:H,0,0)</f>
        <v/>
      </c>
      <c r="G9" s="29">
        <f>F9-E9</f>
        <v/>
      </c>
      <c r="H9" s="23" t="inlineStr">
        <is>
          <t>2</t>
        </is>
      </c>
      <c r="I9" s="18" t="inlineStr">
        <is>
          <t>According brand list</t>
        </is>
      </c>
      <c r="J9" s="18" t="inlineStr">
        <is>
          <t>1110090</t>
        </is>
      </c>
      <c r="K9" s="1" t="n">
        <v>1110090</v>
      </c>
    </row>
    <row r="10" ht="25.5" customHeight="1">
      <c r="A10" s="1" t="n">
        <v>1110808</v>
      </c>
      <c r="B10" s="1" t="inlineStr">
        <is>
          <t>Diode Zener, 5.6V,2%,0.35W,SOD-123</t>
        </is>
      </c>
      <c r="C10" s="30">
        <f>COUNTIFS(#REF!,Sheet1!A10,#REF!,Sheet1!$C$1)</f>
        <v/>
      </c>
      <c r="D10" s="30">
        <f>COUNTIFS(#REF!,Sheet1!A10,#REF!,Sheet1!$D$1)</f>
        <v/>
      </c>
      <c r="E10" s="1">
        <f>D10+C10</f>
        <v/>
      </c>
      <c r="F10" s="1">
        <f>_xlfn.XLOOKUP(A10,K:K,H:H,0,0)</f>
        <v/>
      </c>
      <c r="G10" s="29">
        <f>F10-E10</f>
        <v/>
      </c>
      <c r="H10" s="23" t="inlineStr">
        <is>
          <t>2</t>
        </is>
      </c>
      <c r="I10" s="18" t="inlineStr">
        <is>
          <t>According brand list</t>
        </is>
      </c>
      <c r="J10" s="18" t="inlineStr">
        <is>
          <t>1110105</t>
        </is>
      </c>
      <c r="K10" s="1" t="n">
        <v>1110105</v>
      </c>
    </row>
    <row r="11">
      <c r="A11" s="1" t="n">
        <v>1110630</v>
      </c>
      <c r="B11" s="1" t="inlineStr">
        <is>
          <t>Diode ESD, CAN Bus ESD protection Diode,24V,5A,230W,SOT-23-3</t>
        </is>
      </c>
      <c r="C11" s="30">
        <f>COUNTIFS(#REF!,Sheet1!A11,#REF!,Sheet1!$C$1)</f>
        <v/>
      </c>
      <c r="D11" s="28">
        <f>COUNTIFS(#REF!,Sheet1!A11,#REF!,Sheet1!$D$1)</f>
        <v/>
      </c>
      <c r="E11" s="1">
        <f>D11+C11</f>
        <v/>
      </c>
      <c r="F11" s="1">
        <f>_xlfn.XLOOKUP(A11,K:K,H:H,0,0)</f>
        <v/>
      </c>
      <c r="G11" s="29">
        <f>F11-E11</f>
        <v/>
      </c>
      <c r="H11" s="19" t="inlineStr">
        <is>
          <t>7</t>
        </is>
      </c>
      <c r="I11" s="18" t="inlineStr">
        <is>
          <t>NXP</t>
        </is>
      </c>
      <c r="J11" s="18" t="inlineStr">
        <is>
          <t>1110808</t>
        </is>
      </c>
      <c r="K11" s="1" t="n">
        <v>1110808</v>
      </c>
      <c r="L11" t="n">
        <v>3</v>
      </c>
      <c r="M11" t="n">
        <v>0</v>
      </c>
    </row>
    <row r="12">
      <c r="A12" s="1" t="n">
        <v>1110901</v>
      </c>
      <c r="B12" s="1" t="inlineStr">
        <is>
          <t>Diode, General Purpose Rectifier,600V,1A,SOD-323</t>
        </is>
      </c>
      <c r="C12" s="30">
        <f>COUNTIFS(#REF!,Sheet1!A12,#REF!,Sheet1!$C$1)</f>
        <v/>
      </c>
      <c r="D12" s="30">
        <f>COUNTIFS(#REF!,Sheet1!A12,#REF!,Sheet1!$D$1)</f>
        <v/>
      </c>
      <c r="E12" s="1">
        <f>D12+C12</f>
        <v/>
      </c>
      <c r="F12" s="1">
        <f>_xlfn.XLOOKUP(A12,K:K,H:H,0,0)</f>
        <v/>
      </c>
      <c r="G12" s="29">
        <f>F12-E12</f>
        <v/>
      </c>
      <c r="H12" s="23" t="inlineStr">
        <is>
          <t>2</t>
        </is>
      </c>
      <c r="I12" s="18" t="inlineStr">
        <is>
          <t>NXP</t>
        </is>
      </c>
      <c r="J12" s="18" t="inlineStr">
        <is>
          <t>1110630</t>
        </is>
      </c>
      <c r="K12" s="1" t="n">
        <v>1110630</v>
      </c>
      <c r="L12" t="n">
        <v>25</v>
      </c>
      <c r="M12" t="n">
        <v>19</v>
      </c>
    </row>
    <row r="13">
      <c r="A13" s="1" t="n">
        <v>1110915</v>
      </c>
      <c r="B13" s="1" t="inlineStr">
        <is>
          <t>Diode, High Voltage Switching Diode,250V,200mA,SOT-23-3</t>
        </is>
      </c>
      <c r="C13" s="30">
        <f>COUNTIFS(#REF!,Sheet1!A13,#REF!,Sheet1!$C$1)</f>
        <v/>
      </c>
      <c r="D13" s="28">
        <f>COUNTIFS(#REF!,Sheet1!A13,#REF!,Sheet1!$D$1)</f>
        <v/>
      </c>
      <c r="E13" s="1">
        <f>D13+C13</f>
        <v/>
      </c>
      <c r="F13" s="1">
        <f>_xlfn.XLOOKUP(A13,K:K,H:H,0,0)</f>
        <v/>
      </c>
      <c r="G13" s="29">
        <f>F13-E13</f>
        <v/>
      </c>
      <c r="H13" s="23" t="inlineStr">
        <is>
          <t>25</t>
        </is>
      </c>
      <c r="I13" s="18" t="inlineStr">
        <is>
          <t>MDD</t>
        </is>
      </c>
      <c r="J13" s="18" t="inlineStr">
        <is>
          <t>1110901</t>
        </is>
      </c>
      <c r="K13" s="1" t="n">
        <v>1110901</v>
      </c>
    </row>
    <row r="14">
      <c r="A14" s="1" t="n">
        <v>1110916</v>
      </c>
      <c r="B14" s="1" t="inlineStr">
        <is>
          <t>Diode ESD, LIN-bus ESD protection diode,24_15V,3A,160W,SOD-323</t>
        </is>
      </c>
      <c r="C14" s="30">
        <f>COUNTIFS(#REF!,Sheet1!A14,#REF!,Sheet1!$C$1)</f>
        <v/>
      </c>
      <c r="D14" s="28">
        <f>COUNTIFS(#REF!,Sheet1!A14,#REF!,Sheet1!$D$1)</f>
        <v/>
      </c>
      <c r="E14" s="1">
        <f>D14+C14</f>
        <v/>
      </c>
      <c r="F14" s="1">
        <f>_xlfn.XLOOKUP(A14,K:K,H:H,0,0)</f>
        <v/>
      </c>
      <c r="G14" s="29">
        <f>F14-E14</f>
        <v/>
      </c>
      <c r="H14" s="23" t="inlineStr">
        <is>
          <t>2</t>
        </is>
      </c>
      <c r="I14" s="18" t="inlineStr">
        <is>
          <t>ONSemi</t>
        </is>
      </c>
      <c r="J14" s="18" t="inlineStr">
        <is>
          <t>1110915</t>
        </is>
      </c>
      <c r="K14" s="1" t="n">
        <v>1110915</v>
      </c>
    </row>
    <row r="15">
      <c r="A15" s="1" t="n">
        <v>1110914</v>
      </c>
      <c r="B15" s="1" t="inlineStr">
        <is>
          <t>Diode, Switching Diode,70V,215mA,Dual,SOT-323</t>
        </is>
      </c>
      <c r="C15" s="30">
        <f>COUNTIFS(#REF!,Sheet1!A15,#REF!,Sheet1!$C$1)</f>
        <v/>
      </c>
      <c r="D15" s="28">
        <f>COUNTIFS(#REF!,Sheet1!A15,#REF!,Sheet1!$D$1)</f>
        <v/>
      </c>
      <c r="E15" s="1">
        <f>D15+C15</f>
        <v/>
      </c>
      <c r="F15" s="1">
        <f>_xlfn.XLOOKUP(A15,K:K,H:H,0,0)</f>
        <v/>
      </c>
      <c r="G15" s="29">
        <f>F15-E15</f>
        <v/>
      </c>
      <c r="H15" s="23" t="inlineStr">
        <is>
          <t>2</t>
        </is>
      </c>
      <c r="I15" s="18" t="inlineStr">
        <is>
          <t>NXP</t>
        </is>
      </c>
      <c r="J15" s="18" t="inlineStr">
        <is>
          <t>1110916</t>
        </is>
      </c>
      <c r="K15" s="1" t="n">
        <v>1110916</v>
      </c>
      <c r="L15" t="n">
        <v>8</v>
      </c>
      <c r="M15" t="n">
        <v>14</v>
      </c>
    </row>
    <row r="16">
      <c r="A16" s="1" t="n">
        <v>1110303</v>
      </c>
      <c r="B16" s="1" t="inlineStr">
        <is>
          <t>Resistor, 4.7K,5%,1/10W,0603(1608)</t>
        </is>
      </c>
      <c r="C16" s="30">
        <f>COUNTIFS(#REF!,Sheet1!A16,#REF!,Sheet1!$C$1)</f>
        <v/>
      </c>
      <c r="D16" s="30">
        <f>COUNTIFS(#REF!,Sheet1!A16,#REF!,Sheet1!$D$1)</f>
        <v/>
      </c>
      <c r="E16" s="1">
        <f>D16+C16</f>
        <v/>
      </c>
      <c r="F16" s="1">
        <f>_xlfn.XLOOKUP(A16,K:K,H:H,0,0)</f>
        <v/>
      </c>
      <c r="G16" s="29">
        <f>F16-E16</f>
        <v/>
      </c>
      <c r="H16" s="23" t="inlineStr">
        <is>
          <t>3</t>
        </is>
      </c>
      <c r="I16" s="18" t="inlineStr">
        <is>
          <t>PROTEK</t>
        </is>
      </c>
      <c r="J16" s="18" t="inlineStr">
        <is>
          <t>1110921</t>
        </is>
      </c>
      <c r="K16" s="1" t="n">
        <v>1110921</v>
      </c>
      <c r="L16" t="n">
        <v>0</v>
      </c>
      <c r="M16" t="n">
        <v>6</v>
      </c>
    </row>
    <row r="17">
      <c r="A17" s="1" t="n">
        <v>1110398</v>
      </c>
      <c r="B17" s="1" t="inlineStr">
        <is>
          <t>Resistor, 1.2K,1%,1/10W,0603(1608)</t>
        </is>
      </c>
      <c r="C17" s="30">
        <f>COUNTIFS(#REF!,Sheet1!A17,#REF!,Sheet1!$C$1)</f>
        <v/>
      </c>
      <c r="D17" s="28">
        <f>COUNTIFS(#REF!,Sheet1!A17,#REF!,Sheet1!$D$1)</f>
        <v/>
      </c>
      <c r="E17" s="1">
        <f>D17+C17</f>
        <v/>
      </c>
      <c r="F17" s="1">
        <f>_xlfn.XLOOKUP(A17,K:K,H:H,0,0)</f>
        <v/>
      </c>
      <c r="G17" s="29">
        <f>F17-E17</f>
        <v/>
      </c>
      <c r="H17" s="23" t="inlineStr">
        <is>
          <t>4</t>
        </is>
      </c>
      <c r="I17" s="18" t="inlineStr">
        <is>
          <t>VISHAY</t>
        </is>
      </c>
      <c r="J17" s="18" t="inlineStr">
        <is>
          <t>1110920</t>
        </is>
      </c>
      <c r="K17" s="1" t="n">
        <v>1110920</v>
      </c>
    </row>
    <row r="18">
      <c r="A18" s="1" t="n">
        <v>1110779</v>
      </c>
      <c r="B18" s="1" t="inlineStr">
        <is>
          <t>Resistor, 27K,1%,1/10W,0603(1608)</t>
        </is>
      </c>
      <c r="C18" s="30">
        <f>COUNTIFS(#REF!,Sheet1!A18,#REF!,Sheet1!$C$1)</f>
        <v/>
      </c>
      <c r="D18" s="28">
        <f>COUNTIFS(#REF!,Sheet1!A18,#REF!,Sheet1!$D$1)</f>
        <v/>
      </c>
      <c r="E18" s="1">
        <f>D18+C18</f>
        <v/>
      </c>
      <c r="F18" s="1">
        <f>_xlfn.XLOOKUP(A18,K:K,H:H,0,0)</f>
        <v/>
      </c>
      <c r="G18" s="29">
        <f>F18-E18</f>
        <v/>
      </c>
      <c r="H18" s="23" t="inlineStr">
        <is>
          <t>4</t>
        </is>
      </c>
      <c r="I18" s="18" t="inlineStr">
        <is>
          <t>ONSemi</t>
        </is>
      </c>
      <c r="J18" s="18" t="inlineStr">
        <is>
          <t>1110914</t>
        </is>
      </c>
      <c r="K18" s="1" t="n">
        <v>1110914</v>
      </c>
    </row>
    <row r="19" ht="25.5" customHeight="1">
      <c r="A19" s="1" t="n">
        <v>1110702</v>
      </c>
      <c r="B19" s="1" t="inlineStr">
        <is>
          <t>Resistor, 10K,1%,1/10W,0603(1608)</t>
        </is>
      </c>
      <c r="C19" s="30">
        <f>COUNTIFS(#REF!,Sheet1!A19,#REF!,Sheet1!$C$1)</f>
        <v/>
      </c>
      <c r="D19" s="30">
        <f>COUNTIFS(#REF!,Sheet1!A19,#REF!,Sheet1!$D$1)</f>
        <v/>
      </c>
      <c r="E19" s="1">
        <f>D19+C19</f>
        <v/>
      </c>
      <c r="F19" s="1">
        <f>_xlfn.XLOOKUP(A19,K:K,H:H,0,0)</f>
        <v/>
      </c>
      <c r="G19" s="29">
        <f>F19-E19</f>
        <v/>
      </c>
      <c r="H19" s="23" t="inlineStr">
        <is>
          <t>4</t>
        </is>
      </c>
      <c r="I19" s="18" t="inlineStr">
        <is>
          <t>According brand list</t>
        </is>
      </c>
      <c r="J19" s="18" t="inlineStr">
        <is>
          <t>1110604</t>
        </is>
      </c>
      <c r="K19" s="1" t="n">
        <v>1110604</v>
      </c>
    </row>
    <row r="20" ht="25.5" customHeight="1">
      <c r="A20" s="1" t="n">
        <v>1110183</v>
      </c>
      <c r="B20" s="1" t="inlineStr">
        <is>
          <t>Resistor, 10K,5%,1/10W,0603(1608)</t>
        </is>
      </c>
      <c r="C20" s="30">
        <f>COUNTIFS(#REF!,Sheet1!A20,#REF!,Sheet1!$C$1)</f>
        <v/>
      </c>
      <c r="D20" s="30">
        <f>COUNTIFS(#REF!,Sheet1!A20,#REF!,Sheet1!$D$1)</f>
        <v/>
      </c>
      <c r="E20" s="1">
        <f>D20+C20</f>
        <v/>
      </c>
      <c r="F20" s="1">
        <f>_xlfn.XLOOKUP(A20,K:K,H:H,0,0)</f>
        <v/>
      </c>
      <c r="G20" s="29">
        <f>F20-E20</f>
        <v/>
      </c>
      <c r="H20" s="23" t="inlineStr">
        <is>
          <t>5</t>
        </is>
      </c>
      <c r="I20" s="18" t="inlineStr">
        <is>
          <t>According brand list</t>
        </is>
      </c>
      <c r="J20" s="18" t="inlineStr">
        <is>
          <t>1110600</t>
        </is>
      </c>
      <c r="K20" s="1" t="n">
        <v>1110600</v>
      </c>
    </row>
    <row r="21" ht="25.5" customHeight="1">
      <c r="A21" s="1" t="n">
        <v>1110274</v>
      </c>
      <c r="B21" s="1" t="inlineStr">
        <is>
          <t>Resistor, 0,5%,1/10W,0603(1608)</t>
        </is>
      </c>
      <c r="C21" s="30">
        <f>COUNTIFS(#REF!,Sheet1!A21,#REF!,Sheet1!$C$1)</f>
        <v/>
      </c>
      <c r="D21" s="30">
        <f>COUNTIFS(#REF!,Sheet1!A21,#REF!,Sheet1!$D$1)</f>
        <v/>
      </c>
      <c r="E21" s="1">
        <f>D21+C21</f>
        <v/>
      </c>
      <c r="F21" s="1">
        <f>_xlfn.XLOOKUP(A21,K:K,H:H,0,0)</f>
        <v/>
      </c>
      <c r="G21" s="29">
        <f>F21-E21</f>
        <v/>
      </c>
      <c r="H21" s="23" t="inlineStr">
        <is>
          <t>62</t>
        </is>
      </c>
      <c r="I21" s="18" t="inlineStr">
        <is>
          <t>According brand list</t>
        </is>
      </c>
      <c r="J21" s="18" t="inlineStr">
        <is>
          <t>1110303</t>
        </is>
      </c>
      <c r="K21" s="1" t="n">
        <v>1110303</v>
      </c>
      <c r="L21" t="n">
        <v>3</v>
      </c>
      <c r="M21" t="n">
        <v>0</v>
      </c>
    </row>
    <row r="22" ht="25.5" customHeight="1">
      <c r="A22" s="1" t="n">
        <v>1110755</v>
      </c>
      <c r="B22" s="1" t="inlineStr">
        <is>
          <t>Resistor, 60.4,1%,1/2W,1210(3225)</t>
        </is>
      </c>
      <c r="C22" s="30">
        <f>COUNTIFS(#REF!,Sheet1!A22,#REF!,Sheet1!$C$1)</f>
        <v/>
      </c>
      <c r="D22" s="28">
        <f>COUNTIFS(#REF!,Sheet1!A22,#REF!,Sheet1!$D$1)</f>
        <v/>
      </c>
      <c r="E22" s="1">
        <f>D22+C22</f>
        <v/>
      </c>
      <c r="F22" s="1">
        <f>_xlfn.XLOOKUP(A22,K:K,H:H,0,0)</f>
        <v/>
      </c>
      <c r="G22" s="29">
        <f>F22-E22</f>
        <v/>
      </c>
      <c r="H22" s="23" t="inlineStr">
        <is>
          <t>1</t>
        </is>
      </c>
      <c r="I22" s="18" t="inlineStr">
        <is>
          <t>According brand list</t>
        </is>
      </c>
      <c r="J22" s="18" t="inlineStr">
        <is>
          <t>1110398</t>
        </is>
      </c>
      <c r="K22" s="1" t="n">
        <v>1110398</v>
      </c>
    </row>
    <row r="23" ht="25.5" customHeight="1">
      <c r="A23" s="1" t="n">
        <v>1110271</v>
      </c>
      <c r="B23" s="1" t="inlineStr">
        <is>
          <t>Resistor, 680,1%,1/2W,1210(3225)</t>
        </is>
      </c>
      <c r="C23" s="30">
        <f>COUNTIFS(#REF!,Sheet1!A23,#REF!,Sheet1!$C$1)</f>
        <v/>
      </c>
      <c r="D23" s="28">
        <f>COUNTIFS(#REF!,Sheet1!A23,#REF!,Sheet1!$D$1)</f>
        <v/>
      </c>
      <c r="E23" s="1">
        <f>D23+C23</f>
        <v/>
      </c>
      <c r="F23" s="1">
        <f>_xlfn.XLOOKUP(A23,K:K,H:H,0,0)</f>
        <v/>
      </c>
      <c r="G23" s="29">
        <f>F23-E23</f>
        <v/>
      </c>
      <c r="H23" s="23" t="inlineStr">
        <is>
          <t>1</t>
        </is>
      </c>
      <c r="I23" s="18" t="inlineStr">
        <is>
          <t>According brand list</t>
        </is>
      </c>
      <c r="J23" s="18" t="inlineStr">
        <is>
          <t>1110779</t>
        </is>
      </c>
      <c r="K23" s="1" t="n">
        <v>1110779</v>
      </c>
    </row>
    <row r="24" ht="25.5" customHeight="1">
      <c r="A24" s="1" t="n">
        <v>1110279</v>
      </c>
      <c r="B24" s="1" t="inlineStr">
        <is>
          <t>Resistor, 1.4K,1%,1/4W,1206(3216)</t>
        </is>
      </c>
      <c r="C24" s="30">
        <f>COUNTIFS(#REF!,Sheet1!A24,#REF!,Sheet1!$C$1)</f>
        <v/>
      </c>
      <c r="D24" s="30">
        <f>COUNTIFS(#REF!,Sheet1!A24,#REF!,Sheet1!$D$1)</f>
        <v/>
      </c>
      <c r="E24" s="1">
        <f>D24+C24</f>
        <v/>
      </c>
      <c r="F24" s="1">
        <f>_xlfn.XLOOKUP(A24,K:K,H:H,0,0)</f>
        <v/>
      </c>
      <c r="G24" s="29">
        <f>F24-E24</f>
        <v/>
      </c>
      <c r="H24" s="23" t="inlineStr">
        <is>
          <t>10</t>
        </is>
      </c>
      <c r="I24" s="18" t="inlineStr">
        <is>
          <t>According brand list</t>
        </is>
      </c>
      <c r="J24" s="18" t="inlineStr">
        <is>
          <t>1110702</t>
        </is>
      </c>
      <c r="K24" s="1" t="n">
        <v>1110702</v>
      </c>
    </row>
    <row r="25" ht="25.5" customHeight="1">
      <c r="A25" s="1" t="n">
        <v>1110337</v>
      </c>
      <c r="B25" s="1" t="inlineStr">
        <is>
          <t>Resistor, 22K,5%,1/10W,0603(1608)</t>
        </is>
      </c>
      <c r="C25" s="30">
        <f>COUNTIFS(#REF!,Sheet1!A25,#REF!,Sheet1!$C$1)</f>
        <v/>
      </c>
      <c r="D25" s="30">
        <f>COUNTIFS(#REF!,Sheet1!A25,#REF!,Sheet1!$D$1)</f>
        <v/>
      </c>
      <c r="E25" s="1">
        <f>D25+C25</f>
        <v/>
      </c>
      <c r="F25" s="1">
        <f>_xlfn.XLOOKUP(A25,K:K,H:H,0,0)</f>
        <v/>
      </c>
      <c r="G25" s="29">
        <f>F25-E25</f>
        <v/>
      </c>
      <c r="H25" s="23" t="inlineStr">
        <is>
          <t>22</t>
        </is>
      </c>
      <c r="I25" s="18" t="inlineStr">
        <is>
          <t>According brand list</t>
        </is>
      </c>
      <c r="J25" s="18" t="inlineStr">
        <is>
          <t>1110183</t>
        </is>
      </c>
      <c r="K25" s="1" t="n">
        <v>1110183</v>
      </c>
    </row>
    <row r="26" ht="25.5" customHeight="1">
      <c r="A26" s="1" t="n">
        <v>1110766</v>
      </c>
      <c r="B26" s="1" t="inlineStr">
        <is>
          <t>Resistor, 43K,1%,1/10W,0603(1608)</t>
        </is>
      </c>
      <c r="C26" s="30">
        <f>COUNTIFS(#REF!,Sheet1!A26,#REF!,Sheet1!$C$1)</f>
        <v/>
      </c>
      <c r="D26" s="30">
        <f>COUNTIFS(#REF!,Sheet1!A26,#REF!,Sheet1!$D$1)</f>
        <v/>
      </c>
      <c r="E26" s="1">
        <f>D26+C26</f>
        <v/>
      </c>
      <c r="F26" s="1">
        <f>_xlfn.XLOOKUP(A26,K:K,H:H,0,0)</f>
        <v/>
      </c>
      <c r="G26" s="29">
        <f>F26-E26</f>
        <v/>
      </c>
      <c r="H26" s="23" t="inlineStr">
        <is>
          <t>11</t>
        </is>
      </c>
      <c r="I26" s="18" t="inlineStr">
        <is>
          <t>According brand list</t>
        </is>
      </c>
      <c r="J26" s="18" t="inlineStr">
        <is>
          <t>1110274</t>
        </is>
      </c>
      <c r="K26" s="1" t="n">
        <v>1110274</v>
      </c>
    </row>
    <row r="27" ht="25.5" customHeight="1">
      <c r="A27" s="1" t="n">
        <v>1110708</v>
      </c>
      <c r="B27" s="1" t="inlineStr">
        <is>
          <t>Resistor, 1K,5%,1/10W,0603(1608)</t>
        </is>
      </c>
      <c r="C27" s="30">
        <f>COUNTIFS(#REF!,Sheet1!A27,#REF!,Sheet1!$C$1)</f>
        <v/>
      </c>
      <c r="D27" s="30">
        <f>COUNTIFS(#REF!,Sheet1!A27,#REF!,Sheet1!$D$1)</f>
        <v/>
      </c>
      <c r="E27" s="1">
        <f>D27+C27</f>
        <v/>
      </c>
      <c r="F27" s="1">
        <f>_xlfn.XLOOKUP(A27,K:K,H:H,0,0)</f>
        <v/>
      </c>
      <c r="G27" s="29">
        <f>F27-E27</f>
        <v/>
      </c>
      <c r="H27" s="23" t="inlineStr">
        <is>
          <t>2</t>
        </is>
      </c>
      <c r="I27" s="18" t="inlineStr">
        <is>
          <t>According brand list</t>
        </is>
      </c>
      <c r="J27" s="18" t="inlineStr">
        <is>
          <t>1110755</t>
        </is>
      </c>
      <c r="K27" s="1" t="n">
        <v>1110755</v>
      </c>
      <c r="L27" t="n">
        <v>0</v>
      </c>
      <c r="M27" t="n">
        <v>2</v>
      </c>
    </row>
    <row r="28" ht="25.5" customHeight="1">
      <c r="A28" s="1" t="n">
        <v>1110758</v>
      </c>
      <c r="B28" s="1" t="inlineStr">
        <is>
          <t>Resistor, 1K,5%,1/2W,1210(3225)</t>
        </is>
      </c>
      <c r="C28" s="30">
        <f>COUNTIFS(#REF!,Sheet1!A28,#REF!,Sheet1!$C$1)</f>
        <v/>
      </c>
      <c r="D28" s="28">
        <f>COUNTIFS(#REF!,Sheet1!A28,#REF!,Sheet1!$D$1)</f>
        <v/>
      </c>
      <c r="E28" s="1">
        <f>D28+C28</f>
        <v/>
      </c>
      <c r="F28" s="1">
        <f>_xlfn.XLOOKUP(A28,K:K,H:H,0,0)</f>
        <v/>
      </c>
      <c r="G28" s="29">
        <f>F28-E28</f>
        <v/>
      </c>
      <c r="H28" s="23" t="inlineStr">
        <is>
          <t>2</t>
        </is>
      </c>
      <c r="I28" s="18" t="inlineStr">
        <is>
          <t>According brand list</t>
        </is>
      </c>
      <c r="J28" s="18" t="inlineStr">
        <is>
          <t>1110271</t>
        </is>
      </c>
      <c r="K28" s="1" t="n">
        <v>1110271</v>
      </c>
    </row>
    <row r="29" ht="25.5" customHeight="1">
      <c r="A29" s="1" t="n">
        <v>1110388</v>
      </c>
      <c r="B29" s="1" t="inlineStr">
        <is>
          <t>Resistor, 100K,1%,1/10W,0603(1608)</t>
        </is>
      </c>
      <c r="C29" s="30">
        <f>COUNTIFS(#REF!,Sheet1!A29,#REF!,Sheet1!$C$1)</f>
        <v/>
      </c>
      <c r="D29" s="30">
        <f>COUNTIFS(#REF!,Sheet1!A29,#REF!,Sheet1!$D$1)</f>
        <v/>
      </c>
      <c r="E29" s="1">
        <f>D29+C29</f>
        <v/>
      </c>
      <c r="F29" s="1">
        <f>_xlfn.XLOOKUP(A29,K:K,H:H,0,0)</f>
        <v/>
      </c>
      <c r="G29" s="29">
        <f>F29-E29</f>
        <v/>
      </c>
      <c r="H29" s="19" t="inlineStr">
        <is>
          <t>56</t>
        </is>
      </c>
      <c r="I29" s="18" t="inlineStr">
        <is>
          <t>According brand list</t>
        </is>
      </c>
      <c r="J29" s="18" t="inlineStr">
        <is>
          <t>1110279</t>
        </is>
      </c>
      <c r="K29" s="1" t="n">
        <v>1110279</v>
      </c>
    </row>
    <row r="30" ht="25.5" customHeight="1">
      <c r="A30" s="1" t="n">
        <v>1110760</v>
      </c>
      <c r="B30" s="1" t="inlineStr">
        <is>
          <t>Resistor, 47,5%,1/10W,0603(1608)</t>
        </is>
      </c>
      <c r="C30" s="30">
        <f>COUNTIFS(#REF!,Sheet1!A30,#REF!,Sheet1!$C$1)</f>
        <v/>
      </c>
      <c r="D30" s="28">
        <f>COUNTIFS(#REF!,Sheet1!A30,#REF!,Sheet1!$D$1)</f>
        <v/>
      </c>
      <c r="E30" s="1">
        <f>D30+C30</f>
        <v/>
      </c>
      <c r="F30" s="1">
        <f>_xlfn.XLOOKUP(A30,K:K,H:H,0,0)</f>
        <v/>
      </c>
      <c r="G30" s="29">
        <f>F30-E30</f>
        <v/>
      </c>
      <c r="H30" s="19" t="inlineStr">
        <is>
          <t>56</t>
        </is>
      </c>
      <c r="I30" s="18" t="inlineStr">
        <is>
          <t>According brand list</t>
        </is>
      </c>
      <c r="J30" s="18" t="inlineStr">
        <is>
          <t>1110337</t>
        </is>
      </c>
      <c r="K30" s="1" t="n">
        <v>1110337</v>
      </c>
      <c r="L30" t="n">
        <v>3</v>
      </c>
      <c r="M30" t="n">
        <v>0</v>
      </c>
    </row>
    <row r="31" ht="25.5" customHeight="1">
      <c r="A31" s="1" t="n">
        <v>1110749</v>
      </c>
      <c r="B31" s="1" t="inlineStr">
        <is>
          <t>Resistor, 47K,1%,1/10W,0603(1608)</t>
        </is>
      </c>
      <c r="C31" s="30">
        <f>COUNTIFS(#REF!,Sheet1!A31,#REF!,Sheet1!$C$1)</f>
        <v/>
      </c>
      <c r="D31" s="30">
        <f>COUNTIFS(#REF!,Sheet1!A31,#REF!,Sheet1!$D$1)</f>
        <v/>
      </c>
      <c r="E31" s="1">
        <f>D31+C31</f>
        <v/>
      </c>
      <c r="F31" s="1">
        <f>_xlfn.XLOOKUP(A31,K:K,H:H,0,0)</f>
        <v/>
      </c>
      <c r="G31" s="29">
        <f>F31-E31</f>
        <v/>
      </c>
      <c r="H31" s="19" t="inlineStr">
        <is>
          <t>52</t>
        </is>
      </c>
      <c r="I31" s="18" t="inlineStr">
        <is>
          <t>According brand list</t>
        </is>
      </c>
      <c r="J31" s="18" t="inlineStr">
        <is>
          <t>1110766</t>
        </is>
      </c>
      <c r="K31" s="1" t="n">
        <v>1110766</v>
      </c>
    </row>
    <row r="32" ht="25.5" customHeight="1">
      <c r="A32" s="1" t="n">
        <v>1110277</v>
      </c>
      <c r="B32" s="1" t="inlineStr">
        <is>
          <t>Resistor, 0,5%,1/4W,1206(3216)</t>
        </is>
      </c>
      <c r="C32" s="30">
        <f>COUNTIFS(#REF!,Sheet1!A32,#REF!,Sheet1!$C$1)</f>
        <v/>
      </c>
      <c r="D32" s="30">
        <f>COUNTIFS(#REF!,Sheet1!A32,#REF!,Sheet1!$D$1)</f>
        <v/>
      </c>
      <c r="E32" s="1">
        <f>D32+C32</f>
        <v/>
      </c>
      <c r="F32" s="1">
        <f>_xlfn.XLOOKUP(A32,K:K,H:H,0,0)</f>
        <v/>
      </c>
      <c r="G32" s="29">
        <f>F32-E32</f>
        <v/>
      </c>
      <c r="H32" s="23" t="inlineStr">
        <is>
          <t>5</t>
        </is>
      </c>
      <c r="I32" s="18" t="inlineStr">
        <is>
          <t>According brand list</t>
        </is>
      </c>
      <c r="J32" s="18" t="inlineStr">
        <is>
          <t>1110708</t>
        </is>
      </c>
      <c r="K32" s="1" t="n">
        <v>1110708</v>
      </c>
      <c r="L32" t="n">
        <v>1</v>
      </c>
      <c r="M32" t="n">
        <v>0</v>
      </c>
    </row>
    <row r="33" ht="25.5" customHeight="1">
      <c r="A33" s="1" t="n">
        <v>1110763</v>
      </c>
      <c r="B33" s="1" t="inlineStr">
        <is>
          <t>Resistor, 300K,1%,1/10W,0603(1608)</t>
        </is>
      </c>
      <c r="C33" s="30">
        <f>COUNTIFS(#REF!,Sheet1!A33,#REF!,Sheet1!$C$1)</f>
        <v/>
      </c>
      <c r="D33" s="30">
        <f>COUNTIFS(#REF!,Sheet1!A33,#REF!,Sheet1!$D$1)</f>
        <v/>
      </c>
      <c r="E33" s="1">
        <f>D33+C33</f>
        <v/>
      </c>
      <c r="F33" s="1">
        <f>_xlfn.XLOOKUP(A33,K:K,H:H,0,0)</f>
        <v/>
      </c>
      <c r="G33" s="29">
        <f>F33-E33</f>
        <v/>
      </c>
      <c r="H33" s="23" t="inlineStr">
        <is>
          <t>2</t>
        </is>
      </c>
      <c r="I33" s="18" t="inlineStr">
        <is>
          <t>According brand list</t>
        </is>
      </c>
      <c r="J33" s="18" t="inlineStr">
        <is>
          <t>1110758</t>
        </is>
      </c>
      <c r="K33" s="1" t="n">
        <v>1110758</v>
      </c>
    </row>
    <row r="34" ht="25.5" customHeight="1">
      <c r="A34" s="1" t="n">
        <v>1110764</v>
      </c>
      <c r="B34" s="1" t="inlineStr">
        <is>
          <t>Resistor, 10m,1%,3W,1225(3263)</t>
        </is>
      </c>
      <c r="C34" s="30">
        <f>COUNTIFS(#REF!,Sheet1!A34,#REF!,Sheet1!$C$1)</f>
        <v/>
      </c>
      <c r="D34" s="30">
        <f>COUNTIFS(#REF!,Sheet1!A34,#REF!,Sheet1!$D$1)</f>
        <v/>
      </c>
      <c r="E34" s="1">
        <f>D34+C34</f>
        <v/>
      </c>
      <c r="F34" s="1">
        <f>_xlfn.XLOOKUP(A34,K:K,H:H,0,0)</f>
        <v/>
      </c>
      <c r="G34" s="29">
        <f>F34-E34</f>
        <v/>
      </c>
      <c r="H34" s="23" t="inlineStr">
        <is>
          <t>2</t>
        </is>
      </c>
      <c r="I34" s="18" t="inlineStr">
        <is>
          <t>According brand list</t>
        </is>
      </c>
      <c r="J34" s="18" t="inlineStr">
        <is>
          <t>1110388</t>
        </is>
      </c>
      <c r="K34" s="1" t="n">
        <v>1110388</v>
      </c>
    </row>
    <row r="35" ht="25.5" customHeight="1">
      <c r="A35" s="1" t="n">
        <v>1110502</v>
      </c>
      <c r="B35" s="1" t="inlineStr">
        <is>
          <t>IC, MCU,32-Bit Microcontroller,RH850/F1L,LFQFP-176</t>
        </is>
      </c>
      <c r="C35" s="30">
        <f>COUNTIFS(#REF!,Sheet1!A35,#REF!,Sheet1!$C$1)</f>
        <v/>
      </c>
      <c r="D35" s="28">
        <f>COUNTIFS(#REF!,Sheet1!A35,#REF!,Sheet1!$D$1)</f>
        <v/>
      </c>
      <c r="E35" s="1">
        <f>D35+C35</f>
        <v/>
      </c>
      <c r="F35" s="1">
        <f>_xlfn.XLOOKUP(A35,K:K,H:H,0,0)</f>
        <v/>
      </c>
      <c r="G35" s="29">
        <f>F35-E35</f>
        <v/>
      </c>
      <c r="H35" s="23" t="inlineStr">
        <is>
          <t>22</t>
        </is>
      </c>
      <c r="I35" s="18" t="inlineStr">
        <is>
          <t>According brand list</t>
        </is>
      </c>
      <c r="J35" s="18" t="inlineStr">
        <is>
          <t>1110749</t>
        </is>
      </c>
      <c r="K35" s="1" t="n">
        <v>1110749</v>
      </c>
    </row>
    <row r="36" ht="25.5" customHeight="1">
      <c r="A36" s="1" t="n">
        <v>1110460</v>
      </c>
      <c r="B36" s="1" t="inlineStr">
        <is>
          <t>IC, CAN tranceiver,SO-8</t>
        </is>
      </c>
      <c r="C36" s="30">
        <f>COUNTIFS(#REF!,Sheet1!A36,#REF!,Sheet1!$C$1)</f>
        <v/>
      </c>
      <c r="D36" s="28">
        <f>COUNTIFS(#REF!,Sheet1!A36,#REF!,Sheet1!$D$1)</f>
        <v/>
      </c>
      <c r="E36" s="1">
        <f>D36+C36</f>
        <v/>
      </c>
      <c r="F36" s="1">
        <f>_xlfn.XLOOKUP(A36,K:K,H:H,0,0)</f>
        <v/>
      </c>
      <c r="G36" s="29">
        <f>F36-E36</f>
        <v/>
      </c>
      <c r="H36" s="23" t="inlineStr">
        <is>
          <t>12</t>
        </is>
      </c>
      <c r="I36" s="18" t="inlineStr">
        <is>
          <t>According brand list</t>
        </is>
      </c>
      <c r="J36" s="18" t="inlineStr">
        <is>
          <t>1110760</t>
        </is>
      </c>
      <c r="K36" s="1" t="n">
        <v>1110760</v>
      </c>
    </row>
    <row r="37" ht="25.5" customHeight="1">
      <c r="A37" s="1" t="n">
        <v>1110456</v>
      </c>
      <c r="B37" s="1" t="inlineStr">
        <is>
          <t>IC, CAN tranceiver,SO-14</t>
        </is>
      </c>
      <c r="C37" s="30">
        <f>COUNTIFS(#REF!,Sheet1!A37,#REF!,Sheet1!$C$1)</f>
        <v/>
      </c>
      <c r="D37" s="28">
        <f>COUNTIFS(#REF!,Sheet1!A37,#REF!,Sheet1!$D$1)</f>
        <v/>
      </c>
      <c r="E37" s="1">
        <f>D37+C37</f>
        <v/>
      </c>
      <c r="F37" s="1">
        <f>_xlfn.XLOOKUP(A37,K:K,H:H,0,0)</f>
        <v/>
      </c>
      <c r="G37" s="29">
        <f>F37-E37</f>
        <v/>
      </c>
      <c r="H37" s="23" t="inlineStr">
        <is>
          <t>2</t>
        </is>
      </c>
      <c r="I37" s="18" t="inlineStr">
        <is>
          <t>According brand list</t>
        </is>
      </c>
      <c r="J37" s="18" t="inlineStr">
        <is>
          <t>1110277</t>
        </is>
      </c>
      <c r="K37" s="1" t="n">
        <v>1110277</v>
      </c>
    </row>
    <row r="38" ht="25.5" customHeight="1">
      <c r="A38" s="1" t="n">
        <v>1110401</v>
      </c>
      <c r="B38" s="1" t="inlineStr">
        <is>
          <t>IC, ULQ,Seven Darlington array,SO-16</t>
        </is>
      </c>
      <c r="C38" s="30">
        <f>COUNTIFS(#REF!,Sheet1!A38,#REF!,Sheet1!$C$1)</f>
        <v/>
      </c>
      <c r="D38" s="30">
        <f>COUNTIFS(#REF!,Sheet1!A38,#REF!,Sheet1!$D$1)</f>
        <v/>
      </c>
      <c r="E38" s="1">
        <f>D38+C38</f>
        <v/>
      </c>
      <c r="F38" s="1">
        <f>_xlfn.XLOOKUP(A38,K:K,H:H,0,0)</f>
        <v/>
      </c>
      <c r="G38" s="29">
        <f>F38-E38</f>
        <v/>
      </c>
      <c r="H38" s="23" t="inlineStr">
        <is>
          <t>5</t>
        </is>
      </c>
      <c r="I38" s="18" t="inlineStr">
        <is>
          <t>According brand list</t>
        </is>
      </c>
      <c r="J38" s="18" t="inlineStr">
        <is>
          <t>1110747</t>
        </is>
      </c>
      <c r="K38" s="1" t="n">
        <v>1110747</v>
      </c>
    </row>
    <row r="39" ht="25.5" customHeight="1">
      <c r="A39" s="1" t="n">
        <v>1111016</v>
      </c>
      <c r="B39" s="1" t="inlineStr">
        <is>
          <t>IC, LIN Transceiver,PG-DSO-8-16</t>
        </is>
      </c>
      <c r="C39" s="30">
        <f>COUNTIFS(#REF!,Sheet1!A39,#REF!,Sheet1!$C$1)</f>
        <v/>
      </c>
      <c r="D39" s="28">
        <f>COUNTIFS(#REF!,Sheet1!A39,#REF!,Sheet1!$D$1)</f>
        <v/>
      </c>
      <c r="E39" s="1">
        <f>D39+C39</f>
        <v/>
      </c>
      <c r="F39" s="1">
        <f>_xlfn.XLOOKUP(A39,K:K,H:H,0,0)</f>
        <v/>
      </c>
      <c r="G39" s="29">
        <f>F39-E39</f>
        <v/>
      </c>
      <c r="H39" s="23" t="inlineStr">
        <is>
          <t>1</t>
        </is>
      </c>
      <c r="I39" s="18" t="inlineStr">
        <is>
          <t>According brand list</t>
        </is>
      </c>
      <c r="J39" s="18" t="inlineStr">
        <is>
          <t>1110761</t>
        </is>
      </c>
      <c r="K39" s="1" t="n">
        <v>1110761</v>
      </c>
    </row>
    <row r="40" ht="25.5" customHeight="1">
      <c r="A40" s="1" t="n">
        <v>1110506</v>
      </c>
      <c r="B40" s="1" t="inlineStr">
        <is>
          <t>IC, BTS7030-2EPA,TSDSO-14</t>
        </is>
      </c>
      <c r="C40" s="30">
        <f>COUNTIFS(#REF!,Sheet1!A40,#REF!,Sheet1!$C$1)</f>
        <v/>
      </c>
      <c r="D40" s="28">
        <f>COUNTIFS(#REF!,Sheet1!A40,#REF!,Sheet1!$D$1)</f>
        <v/>
      </c>
      <c r="E40" s="1">
        <f>D40+C40</f>
        <v/>
      </c>
      <c r="F40" s="1">
        <f>_xlfn.XLOOKUP(A40,K:K,H:H,0,0)</f>
        <v/>
      </c>
      <c r="G40" s="29">
        <f>F40-E40</f>
        <v/>
      </c>
      <c r="H40" s="23" t="inlineStr">
        <is>
          <t>2</t>
        </is>
      </c>
      <c r="I40" s="18" t="inlineStr">
        <is>
          <t>According brand list</t>
        </is>
      </c>
      <c r="J40" s="18" t="inlineStr">
        <is>
          <t>1110762</t>
        </is>
      </c>
      <c r="K40" s="1" t="n">
        <v>1110762</v>
      </c>
      <c r="L40" t="n">
        <v>3</v>
      </c>
      <c r="M40" t="n">
        <v>0</v>
      </c>
    </row>
    <row r="41" ht="25.5" customHeight="1">
      <c r="A41" s="1" t="n">
        <v>1110505</v>
      </c>
      <c r="B41" s="1" t="inlineStr">
        <is>
          <t>IC, BTS7200-2EPA,TSDSO-14</t>
        </is>
      </c>
      <c r="C41" s="30">
        <f>COUNTIFS(#REF!,Sheet1!A41,#REF!,Sheet1!$C$1)</f>
        <v/>
      </c>
      <c r="D41" s="28">
        <f>COUNTIFS(#REF!,Sheet1!A41,#REF!,Sheet1!$D$1)</f>
        <v/>
      </c>
      <c r="E41" s="1">
        <f>D41+C41</f>
        <v/>
      </c>
      <c r="F41" s="1">
        <f>_xlfn.XLOOKUP(A41,K:K,H:H,0,0)</f>
        <v/>
      </c>
      <c r="G41" s="29">
        <f>F41-E41</f>
        <v/>
      </c>
      <c r="H41" s="23" t="inlineStr">
        <is>
          <t>2</t>
        </is>
      </c>
      <c r="I41" s="18" t="inlineStr">
        <is>
          <t>According brand list</t>
        </is>
      </c>
      <c r="J41" s="18" t="inlineStr">
        <is>
          <t>1110754</t>
        </is>
      </c>
      <c r="K41" s="1" t="n">
        <v>1110754</v>
      </c>
    </row>
    <row r="42" ht="25.5" customHeight="1">
      <c r="A42" s="1" t="n">
        <v>1110483</v>
      </c>
      <c r="B42" s="1" t="inlineStr">
        <is>
          <t>IC, PMIC,Power Distribution,Low-Side Switch,Smart,8CH,0.45A,45V,SO-20</t>
        </is>
      </c>
      <c r="C42" s="30">
        <f>COUNTIFS(#REF!,Sheet1!A42,#REF!,Sheet1!$C$1)</f>
        <v/>
      </c>
      <c r="D42" s="28">
        <f>COUNTIFS(#REF!,Sheet1!A42,#REF!,Sheet1!$D$1)</f>
        <v/>
      </c>
      <c r="E42" s="1">
        <f>D42+C42</f>
        <v/>
      </c>
      <c r="F42" s="1">
        <f>_xlfn.XLOOKUP(A42,K:K,H:H,0,0)</f>
        <v/>
      </c>
      <c r="G42" s="29">
        <f>F42-E42</f>
        <v/>
      </c>
      <c r="H42" s="23" t="inlineStr">
        <is>
          <t>8</t>
        </is>
      </c>
      <c r="I42" s="18" t="inlineStr">
        <is>
          <t>According brand list</t>
        </is>
      </c>
      <c r="J42" s="18" t="inlineStr">
        <is>
          <t>1110763</t>
        </is>
      </c>
      <c r="K42" s="1" t="n">
        <v>1110763</v>
      </c>
    </row>
    <row r="43">
      <c r="A43" s="1" t="n">
        <v>1110504</v>
      </c>
      <c r="B43" s="1" t="inlineStr">
        <is>
          <t>IC, BTS7012-1EPA,TSDSO-14</t>
        </is>
      </c>
      <c r="C43" s="30">
        <f>COUNTIFS(#REF!,Sheet1!A43,#REF!,Sheet1!$C$1)</f>
        <v/>
      </c>
      <c r="D43" s="28">
        <f>COUNTIFS(#REF!,Sheet1!A43,#REF!,Sheet1!$D$1)</f>
        <v/>
      </c>
      <c r="E43" s="1">
        <f>D43+C43</f>
        <v/>
      </c>
      <c r="F43" s="1">
        <f>_xlfn.XLOOKUP(A43,K:K,H:H,0,0)</f>
        <v/>
      </c>
      <c r="G43" s="29">
        <f>F43-E43</f>
        <v/>
      </c>
      <c r="H43" s="23" t="inlineStr">
        <is>
          <t>8</t>
        </is>
      </c>
      <c r="I43" s="18" t="inlineStr">
        <is>
          <t>Susumu</t>
        </is>
      </c>
      <c r="J43" s="18" t="inlineStr">
        <is>
          <t>1110764</t>
        </is>
      </c>
      <c r="K43" s="1" t="n">
        <v>1110764</v>
      </c>
    </row>
    <row r="44">
      <c r="A44" s="1" t="n">
        <v>1111004</v>
      </c>
      <c r="B44" s="1" t="inlineStr">
        <is>
          <t>IC, PMIC,Regulator,Linear,5V,450mA,SSOP-14</t>
        </is>
      </c>
      <c r="C44" s="30">
        <f>COUNTIFS(#REF!,Sheet1!A44,#REF!,Sheet1!$C$1)</f>
        <v/>
      </c>
      <c r="D44" s="28">
        <f>COUNTIFS(#REF!,Sheet1!A44,#REF!,Sheet1!$D$1)</f>
        <v/>
      </c>
      <c r="E44" s="1">
        <f>D44+C44</f>
        <v/>
      </c>
      <c r="F44" s="1">
        <f>_xlfn.XLOOKUP(A44,K:K,H:H,0,0)</f>
        <v/>
      </c>
      <c r="G44" s="29">
        <f>F44-E44</f>
        <v/>
      </c>
      <c r="H44" s="23" t="inlineStr">
        <is>
          <t>1</t>
        </is>
      </c>
      <c r="I44" s="18" t="inlineStr">
        <is>
          <t>Renesas</t>
        </is>
      </c>
      <c r="J44" s="18" t="inlineStr">
        <is>
          <t>1110502</t>
        </is>
      </c>
      <c r="K44" s="1" t="n">
        <v>1110502</v>
      </c>
    </row>
    <row r="45">
      <c r="A45" s="1" t="n">
        <v>1110409</v>
      </c>
      <c r="B45" s="1" t="inlineStr">
        <is>
          <t>IC, OpAmp,Dual,32V,7mV offset,SO-8</t>
        </is>
      </c>
      <c r="C45" s="30">
        <f>COUNTIFS(#REF!,Sheet1!A45,#REF!,Sheet1!$C$1)</f>
        <v/>
      </c>
      <c r="D45" s="28">
        <f>COUNTIFS(#REF!,Sheet1!A45,#REF!,Sheet1!$D$1)</f>
        <v/>
      </c>
      <c r="E45" s="1">
        <f>D45+C45</f>
        <v/>
      </c>
      <c r="F45" s="1">
        <f>_xlfn.XLOOKUP(A45,K:K,H:H,0,0)</f>
        <v/>
      </c>
      <c r="G45" s="29">
        <f>F45-E45</f>
        <v/>
      </c>
      <c r="H45" s="23" t="inlineStr">
        <is>
          <t>1</t>
        </is>
      </c>
      <c r="I45" s="18" t="inlineStr">
        <is>
          <t>NXP</t>
        </is>
      </c>
      <c r="J45" s="18" t="inlineStr">
        <is>
          <t>1110460</t>
        </is>
      </c>
      <c r="K45" s="1" t="n">
        <v>1110460</v>
      </c>
    </row>
    <row r="46">
      <c r="A46" s="1" t="n">
        <v>1111010</v>
      </c>
      <c r="B46" s="1" t="inlineStr">
        <is>
          <t>Crystal, 8.000MHz,20PPM,10PPM,15P,50O,-40°C,85°C,HC49/SMD</t>
        </is>
      </c>
      <c r="C46" s="30">
        <f>COUNTIFS(#REF!,Sheet1!A46,#REF!,Sheet1!$C$1)</f>
        <v/>
      </c>
      <c r="D46" s="28">
        <f>COUNTIFS(#REF!,Sheet1!A46,#REF!,Sheet1!$D$1)</f>
        <v/>
      </c>
      <c r="E46" s="1">
        <f>D46+C46</f>
        <v/>
      </c>
      <c r="F46" s="1">
        <f>_xlfn.XLOOKUP(A46,K:K,H:H,0,0)</f>
        <v/>
      </c>
      <c r="G46" s="29">
        <f>F46-E46</f>
        <v/>
      </c>
      <c r="H46" s="23" t="inlineStr">
        <is>
          <t>1</t>
        </is>
      </c>
      <c r="I46" s="18" t="inlineStr">
        <is>
          <t>NXP</t>
        </is>
      </c>
      <c r="J46" s="18" t="inlineStr">
        <is>
          <t>1110456</t>
        </is>
      </c>
      <c r="K46" s="1" t="n">
        <v>1110456</v>
      </c>
    </row>
    <row r="47">
      <c r="A47" s="1" t="n">
        <v>1110096</v>
      </c>
      <c r="B47" s="1" t="inlineStr">
        <is>
          <t>Capacitor, X7R,4.7U,50V,10%,1210(3225)</t>
        </is>
      </c>
      <c r="C47" s="28">
        <f>COUNTIFS(#REF!,Sheet1!A47,#REF!,Sheet1!$C$1)</f>
        <v/>
      </c>
      <c r="D47" s="30">
        <f>COUNTIFS(#REF!,Sheet1!A47,#REF!,Sheet1!$D$1)</f>
        <v/>
      </c>
      <c r="E47" s="1">
        <f>D47+C47</f>
        <v/>
      </c>
      <c r="F47" s="1">
        <f>_xlfn.XLOOKUP(A47,K:K,H:H,0,0)</f>
        <v/>
      </c>
      <c r="G47" s="29">
        <f>F47-E47</f>
        <v/>
      </c>
      <c r="H47" s="23" t="inlineStr">
        <is>
          <t>2</t>
        </is>
      </c>
      <c r="I47" s="18" t="inlineStr">
        <is>
          <t>ST</t>
        </is>
      </c>
      <c r="J47" s="18" t="inlineStr">
        <is>
          <t>1110401</t>
        </is>
      </c>
      <c r="K47" s="1" t="n">
        <v>1110401</v>
      </c>
    </row>
    <row r="48">
      <c r="A48" s="1" t="n">
        <v>1110921</v>
      </c>
      <c r="B48" s="1" t="inlineStr">
        <is>
          <t>Diode ESD, TVS Diode,28V,40A,400W,Bi-directional,DO-214AC(SMA)</t>
        </is>
      </c>
      <c r="C48" s="28">
        <f>COUNTIFS(#REF!,Sheet1!A48,#REF!,Sheet1!$C$1)</f>
        <v/>
      </c>
      <c r="D48" s="30">
        <f>COUNTIFS(#REF!,Sheet1!A48,#REF!,Sheet1!$D$1)</f>
        <v/>
      </c>
      <c r="E48" s="1">
        <f>D48+C48</f>
        <v/>
      </c>
      <c r="F48" s="1">
        <f>_xlfn.XLOOKUP(A48,K:K,H:H,0,0)</f>
        <v/>
      </c>
      <c r="G48" s="29">
        <f>F48-E48</f>
        <v/>
      </c>
      <c r="H48" s="23" t="inlineStr">
        <is>
          <t>2</t>
        </is>
      </c>
      <c r="I48" s="18" t="inlineStr">
        <is>
          <t>Infineon</t>
        </is>
      </c>
      <c r="J48" s="18" t="inlineStr">
        <is>
          <t>1111016</t>
        </is>
      </c>
      <c r="K48" s="1" t="n">
        <v>1111016</v>
      </c>
    </row>
    <row r="49">
      <c r="A49" s="1" t="n">
        <v>1110920</v>
      </c>
      <c r="B49" s="1" t="inlineStr">
        <is>
          <t>Diode, Ultra Fast Diode,1000V,1A,DO-214AC(SMA)</t>
        </is>
      </c>
      <c r="C49" s="28">
        <f>COUNTIFS(#REF!,Sheet1!A49,#REF!,Sheet1!$C$1)</f>
        <v/>
      </c>
      <c r="D49" s="30">
        <f>COUNTIFS(#REF!,Sheet1!A49,#REF!,Sheet1!$D$1)</f>
        <v/>
      </c>
      <c r="E49" s="1">
        <f>D49+C49</f>
        <v/>
      </c>
      <c r="F49" s="1">
        <f>_xlfn.XLOOKUP(A49,K:K,H:H,0,0)</f>
        <v/>
      </c>
      <c r="G49" s="29">
        <f>F49-E49</f>
        <v/>
      </c>
      <c r="H49" s="23" t="inlineStr">
        <is>
          <t>7</t>
        </is>
      </c>
      <c r="I49" s="18" t="inlineStr">
        <is>
          <t>Infineon</t>
        </is>
      </c>
      <c r="J49" s="18" t="inlineStr">
        <is>
          <t>1110506</t>
        </is>
      </c>
      <c r="K49" s="1" t="n">
        <v>1110506</v>
      </c>
      <c r="L49" t="n">
        <v>5</v>
      </c>
      <c r="M49" t="n">
        <v>0</v>
      </c>
    </row>
    <row r="50">
      <c r="A50" s="1" t="n">
        <v>1110604</v>
      </c>
      <c r="B50" s="1" t="inlineStr">
        <is>
          <t>Transistor, PNP,500mA,45V,SOT-23-3</t>
        </is>
      </c>
      <c r="C50" s="28">
        <f>COUNTIFS(#REF!,Sheet1!A50,#REF!,Sheet1!$C$1)</f>
        <v/>
      </c>
      <c r="D50" s="30">
        <f>COUNTIFS(#REF!,Sheet1!A50,#REF!,Sheet1!$D$1)</f>
        <v/>
      </c>
      <c r="E50" s="1">
        <f>D50+C50</f>
        <v/>
      </c>
      <c r="F50" s="1">
        <f>_xlfn.XLOOKUP(A50,K:K,H:H,0,0)</f>
        <v/>
      </c>
      <c r="G50" s="29">
        <f>F50-E50</f>
        <v/>
      </c>
      <c r="H50" s="23" t="inlineStr">
        <is>
          <t>3</t>
        </is>
      </c>
      <c r="I50" s="18" t="inlineStr">
        <is>
          <t>Infineon</t>
        </is>
      </c>
      <c r="J50" s="18" t="inlineStr">
        <is>
          <t>1110505</t>
        </is>
      </c>
      <c r="K50" s="1" t="n">
        <v>1110505</v>
      </c>
      <c r="L50" t="n">
        <v>0</v>
      </c>
      <c r="M50" t="n">
        <v>1</v>
      </c>
    </row>
    <row r="51">
      <c r="A51" s="1" t="n">
        <v>1110600</v>
      </c>
      <c r="B51" s="1" t="inlineStr">
        <is>
          <t>Transistor, NPN,500mA,45V,SOT-23-3</t>
        </is>
      </c>
      <c r="C51" s="28">
        <f>COUNTIFS(#REF!,Sheet1!A51,#REF!,Sheet1!$C$1)</f>
        <v/>
      </c>
      <c r="D51" s="30">
        <f>COUNTIFS(#REF!,Sheet1!A51,#REF!,Sheet1!$D$1)</f>
        <v/>
      </c>
      <c r="E51" s="1">
        <f>D51+C51</f>
        <v/>
      </c>
      <c r="F51" s="1">
        <f>_xlfn.XLOOKUP(A51,K:K,H:H,0,0)</f>
        <v/>
      </c>
      <c r="G51" s="29">
        <f>F51-E51</f>
        <v/>
      </c>
      <c r="H51" s="23" t="inlineStr">
        <is>
          <t>2</t>
        </is>
      </c>
      <c r="I51" s="18" t="inlineStr">
        <is>
          <t>ST</t>
        </is>
      </c>
      <c r="J51" s="18" t="inlineStr">
        <is>
          <t>1110483</t>
        </is>
      </c>
      <c r="K51" s="1" t="n">
        <v>1110483</v>
      </c>
    </row>
    <row r="52">
      <c r="A52" s="1" t="n">
        <v>1110747</v>
      </c>
      <c r="B52" s="1" t="inlineStr">
        <is>
          <t>Resistor, 330,5%,1W,2512(6332)</t>
        </is>
      </c>
      <c r="C52" s="28">
        <f>COUNTIFS(#REF!,Sheet1!A52,#REF!,Sheet1!$C$1)</f>
        <v/>
      </c>
      <c r="D52" s="30">
        <f>COUNTIFS(#REF!,Sheet1!A52,#REF!,Sheet1!$D$1)</f>
        <v/>
      </c>
      <c r="E52" s="1">
        <f>D52+C52</f>
        <v/>
      </c>
      <c r="F52" s="1">
        <f>_xlfn.XLOOKUP(A52,K:K,H:H,0,0)</f>
        <v/>
      </c>
      <c r="G52" s="29">
        <f>F52-E52</f>
        <v/>
      </c>
      <c r="H52" s="23" t="inlineStr">
        <is>
          <t>2</t>
        </is>
      </c>
      <c r="I52" s="18" t="inlineStr">
        <is>
          <t>Infineon</t>
        </is>
      </c>
      <c r="J52" s="18" t="inlineStr">
        <is>
          <t>1110504</t>
        </is>
      </c>
      <c r="K52" s="1" t="n">
        <v>1110504</v>
      </c>
      <c r="L52" t="n">
        <v>0</v>
      </c>
      <c r="M52" t="n">
        <v>5</v>
      </c>
    </row>
    <row r="53">
      <c r="A53" s="1" t="n">
        <v>1110761</v>
      </c>
      <c r="B53" s="1" t="inlineStr">
        <is>
          <t>Resistor, 4.7K,1%,1/10W,0603(1608)</t>
        </is>
      </c>
      <c r="C53" s="28">
        <f>COUNTIFS(#REF!,Sheet1!A53,#REF!,Sheet1!$C$1)</f>
        <v/>
      </c>
      <c r="D53" s="30">
        <f>COUNTIFS(#REF!,Sheet1!A53,#REF!,Sheet1!$D$1)</f>
        <v/>
      </c>
      <c r="E53" s="1">
        <f>D53+C53</f>
        <v/>
      </c>
      <c r="F53" s="1">
        <f>_xlfn.XLOOKUP(A53,K:K,H:H,0,0)</f>
        <v/>
      </c>
      <c r="G53" s="29">
        <f>F53-E53</f>
        <v/>
      </c>
      <c r="H53" s="23" t="inlineStr">
        <is>
          <t>1</t>
        </is>
      </c>
      <c r="I53" s="18" t="inlineStr">
        <is>
          <t>Infineon</t>
        </is>
      </c>
      <c r="J53" s="18" t="inlineStr">
        <is>
          <t>1111004</t>
        </is>
      </c>
      <c r="K53" s="1" t="n">
        <v>1111004</v>
      </c>
    </row>
    <row r="54">
      <c r="A54" s="1" t="n">
        <v>1110762</v>
      </c>
      <c r="B54" s="1" t="inlineStr">
        <is>
          <t>Resistor, 3.32K,1%,1/10W,0603(1608)</t>
        </is>
      </c>
      <c r="C54" s="28">
        <f>COUNTIFS(#REF!,Sheet1!A54,#REF!,Sheet1!$C$1)</f>
        <v/>
      </c>
      <c r="D54" s="30">
        <f>COUNTIFS(#REF!,Sheet1!A54,#REF!,Sheet1!$D$1)</f>
        <v/>
      </c>
      <c r="E54" s="1">
        <f>D54+C54</f>
        <v/>
      </c>
      <c r="F54" s="1">
        <f>_xlfn.XLOOKUP(A54,K:K,H:H,0,0)</f>
        <v/>
      </c>
      <c r="G54" s="29">
        <f>F54-E54</f>
        <v/>
      </c>
      <c r="H54" s="23" t="inlineStr">
        <is>
          <t>2</t>
        </is>
      </c>
      <c r="I54" s="18" t="inlineStr">
        <is>
          <t>ST</t>
        </is>
      </c>
      <c r="J54" s="18" t="inlineStr">
        <is>
          <t>1110409</t>
        </is>
      </c>
      <c r="K54" s="1" t="n">
        <v>1110409</v>
      </c>
    </row>
    <row r="55">
      <c r="A55" s="1" t="n">
        <v>1110754</v>
      </c>
      <c r="B55" s="1" t="inlineStr">
        <is>
          <t>Resistor, 1R,1%,1/4W,1206(3216)</t>
        </is>
      </c>
      <c r="C55" s="28">
        <f>COUNTIFS(#REF!,Sheet1!A55,#REF!,Sheet1!$C$1)</f>
        <v/>
      </c>
      <c r="D55" s="30">
        <f>COUNTIFS(#REF!,Sheet1!A55,#REF!,Sheet1!$D$1)</f>
        <v/>
      </c>
      <c r="E55" s="1">
        <f>D55+C55</f>
        <v/>
      </c>
      <c r="F55" s="1">
        <f>_xlfn.XLOOKUP(A55,K:K,H:H,0,0)</f>
        <v/>
      </c>
      <c r="G55" s="29">
        <f>F55-E55</f>
        <v/>
      </c>
      <c r="H55" s="23" t="inlineStr">
        <is>
          <t>1</t>
        </is>
      </c>
      <c r="I55" s="18" t="inlineStr">
        <is>
          <t>SJK</t>
        </is>
      </c>
      <c r="J55" s="18" t="inlineStr">
        <is>
          <t>1111010</t>
        </is>
      </c>
      <c r="K55" s="1" t="n">
        <v>1111010</v>
      </c>
      <c r="L55" t="n">
        <v>1</v>
      </c>
      <c r="M55" t="n">
        <v>0</v>
      </c>
    </row>
    <row r="56" ht="25.5" customHeight="1">
      <c r="G56" s="29">
        <f>F56-E56</f>
        <v/>
      </c>
      <c r="H56" s="17" t="inlineStr">
        <is>
          <t>1</t>
        </is>
      </c>
      <c r="I56" s="17" t="inlineStr">
        <is>
          <t>According brand list</t>
        </is>
      </c>
      <c r="J56" s="24" t="inlineStr">
        <is>
          <t>1100460</t>
        </is>
      </c>
      <c r="K56" s="1" t="n">
        <v>1100460</v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</sheetData>
  <autoFilter ref="C1:D65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selection activeCell="F3" sqref="F3"/>
    </sheetView>
  </sheetViews>
  <sheetFormatPr baseColWidth="8" defaultRowHeight="15"/>
  <cols>
    <col width="9.7109375" bestFit="1" customWidth="1" style="1" min="1" max="1"/>
    <col width="12.28515625" bestFit="1" customWidth="1" style="1" min="2" max="3"/>
    <col width="8.140625" bestFit="1" customWidth="1" style="1" min="4" max="4"/>
    <col width="17.42578125" bestFit="1" customWidth="1" style="1" min="5" max="5"/>
    <col width="57" bestFit="1" customWidth="1" style="1" min="6" max="6"/>
  </cols>
  <sheetData>
    <row r="1">
      <c r="A1" s="1" t="inlineStr">
        <is>
          <t>Designator</t>
        </is>
      </c>
      <c r="B1" s="1" t="inlineStr">
        <is>
          <t>Center-X(mm)</t>
        </is>
      </c>
      <c r="C1" s="1" t="inlineStr">
        <is>
          <t>Center-Y(mm)</t>
        </is>
      </c>
      <c r="D1" s="1" t="inlineStr">
        <is>
          <t>Rotation</t>
        </is>
      </c>
      <c r="E1" s="1" t="inlineStr">
        <is>
          <t>SPCO Stock Number</t>
        </is>
      </c>
      <c r="F1" s="1" t="inlineStr">
        <is>
          <t>Description</t>
        </is>
      </c>
    </row>
    <row r="2">
      <c r="A2" s="1" t="inlineStr">
        <is>
          <t>C101</t>
        </is>
      </c>
      <c r="B2" s="1" t="n">
        <v>56.4231</v>
      </c>
      <c r="C2" s="1" t="n">
        <v>99.051</v>
      </c>
      <c r="D2" s="1" t="n">
        <v>180</v>
      </c>
      <c r="E2" s="1" t="n">
        <v>1110569</v>
      </c>
      <c r="F2" s="1" t="inlineStr">
        <is>
          <t>Capacitor,X7R,10N,50V,10%,0402(1005)</t>
        </is>
      </c>
    </row>
    <row r="3">
      <c r="A3" s="1" t="inlineStr">
        <is>
          <t>C102</t>
        </is>
      </c>
      <c r="B3" s="1" t="n">
        <v>104.8227</v>
      </c>
      <c r="C3" s="1" t="n">
        <v>36.651</v>
      </c>
      <c r="D3" s="1" t="n">
        <v>360</v>
      </c>
      <c r="E3" s="1" t="n">
        <v>1110135</v>
      </c>
      <c r="F3" s="1" t="inlineStr">
        <is>
          <t>Capacitor,X7R,1U,16V,10%,0603(1608)</t>
        </is>
      </c>
    </row>
    <row r="4">
      <c r="A4" s="1" t="inlineStr">
        <is>
          <t>C103</t>
        </is>
      </c>
      <c r="B4" s="1" t="n">
        <v>106.7977</v>
      </c>
      <c r="C4" s="1" t="n">
        <v>35.701</v>
      </c>
      <c r="D4" s="1" t="n">
        <v>90</v>
      </c>
      <c r="E4" s="1" t="n">
        <v>1110118</v>
      </c>
      <c r="F4" s="1" t="inlineStr">
        <is>
          <t>Capacitor,X7R,100N,50V,10%,0402(1005)</t>
        </is>
      </c>
    </row>
    <row r="5">
      <c r="A5" s="1" t="inlineStr">
        <is>
          <t>C104</t>
        </is>
      </c>
      <c r="B5" s="1" t="n">
        <v>101.7477</v>
      </c>
      <c r="C5" s="1" t="n">
        <v>36.101</v>
      </c>
      <c r="D5" s="1" t="n">
        <v>180</v>
      </c>
      <c r="E5" s="1" t="n">
        <v>1110118</v>
      </c>
      <c r="F5" s="1" t="inlineStr">
        <is>
          <t>Capacitor,X7R,100N,50V,10%,0402(1005)</t>
        </is>
      </c>
    </row>
    <row r="6">
      <c r="A6" s="1" t="inlineStr">
        <is>
          <t>C105</t>
        </is>
      </c>
      <c r="B6" s="1" t="n">
        <v>104.7727</v>
      </c>
      <c r="C6" s="1" t="n">
        <v>26.001</v>
      </c>
      <c r="D6" s="1" t="n">
        <v>360</v>
      </c>
      <c r="E6" s="1" t="n">
        <v>1110095</v>
      </c>
      <c r="F6" s="1" t="inlineStr">
        <is>
          <t>Capacitor,X7R,100N,50V,10%,0603(1608)</t>
        </is>
      </c>
    </row>
    <row r="7">
      <c r="A7" s="1" t="inlineStr">
        <is>
          <t>C106</t>
        </is>
      </c>
      <c r="B7" s="1" t="n">
        <v>97.04770000000001</v>
      </c>
      <c r="C7" s="1" t="n">
        <v>36.101</v>
      </c>
      <c r="D7" s="1" t="n">
        <v>360</v>
      </c>
      <c r="E7" s="1" t="n">
        <v>1110118</v>
      </c>
      <c r="F7" s="1" t="inlineStr">
        <is>
          <t>Capacitor,X7R,100N,50V,10%,0402(1005)</t>
        </is>
      </c>
    </row>
    <row r="8">
      <c r="A8" s="1" t="inlineStr">
        <is>
          <t>C107</t>
        </is>
      </c>
      <c r="B8" s="1" t="n">
        <v>98.92270000000001</v>
      </c>
      <c r="C8" s="1" t="n">
        <v>63.001</v>
      </c>
      <c r="D8" s="1" t="n">
        <v>360</v>
      </c>
      <c r="E8" s="1" t="n">
        <v>1110101</v>
      </c>
      <c r="F8" s="1" t="inlineStr">
        <is>
          <t>Capacitor,X7R,47N,50V,10%,0603(1608)</t>
        </is>
      </c>
    </row>
    <row r="9">
      <c r="A9" s="1" t="inlineStr">
        <is>
          <t>C108</t>
        </is>
      </c>
      <c r="B9" s="1" t="n">
        <v>93.62269999999999</v>
      </c>
      <c r="C9" s="1" t="n">
        <v>63.001</v>
      </c>
      <c r="D9" s="1" t="n">
        <v>360</v>
      </c>
      <c r="E9" s="1" t="n">
        <v>1110101</v>
      </c>
      <c r="F9" s="1" t="inlineStr">
        <is>
          <t>Capacitor,X7R,47N,50V,10%,0603(1608)</t>
        </is>
      </c>
    </row>
    <row r="10">
      <c r="A10" s="1" t="inlineStr">
        <is>
          <t>C111</t>
        </is>
      </c>
      <c r="B10" s="1" t="n">
        <v>31.4227</v>
      </c>
      <c r="C10" s="1" t="n">
        <v>60.051</v>
      </c>
      <c r="D10" s="1" t="n">
        <v>360</v>
      </c>
      <c r="E10" s="1" t="n">
        <v>1110101</v>
      </c>
      <c r="F10" s="1" t="inlineStr">
        <is>
          <t>Capacitor,X7R,47N,50V,10%,0603(1608)</t>
        </is>
      </c>
    </row>
    <row r="11">
      <c r="A11" s="1" t="inlineStr">
        <is>
          <t>C117</t>
        </is>
      </c>
      <c r="B11" s="1" t="n">
        <v>110.4977</v>
      </c>
      <c r="C11" s="1" t="n">
        <v>31.326</v>
      </c>
      <c r="D11" s="1" t="n">
        <v>270</v>
      </c>
      <c r="E11" s="1" t="n">
        <v>1110101</v>
      </c>
      <c r="F11" s="1" t="inlineStr">
        <is>
          <t>Capacitor,X7R,47N,50V,10%,0603(1608)</t>
        </is>
      </c>
    </row>
    <row r="12">
      <c r="A12" s="1" t="inlineStr">
        <is>
          <t>C118</t>
        </is>
      </c>
      <c r="B12" s="1" t="n">
        <v>110.4977</v>
      </c>
      <c r="C12" s="1" t="n">
        <v>28.676</v>
      </c>
      <c r="D12" s="1" t="n">
        <v>270</v>
      </c>
      <c r="E12" s="1" t="n">
        <v>1110101</v>
      </c>
      <c r="F12" s="1" t="inlineStr">
        <is>
          <t>Capacitor,X7R,47N,50V,10%,0603(1608)</t>
        </is>
      </c>
    </row>
    <row r="13">
      <c r="A13" s="1" t="inlineStr">
        <is>
          <t>C119</t>
        </is>
      </c>
      <c r="B13" s="1" t="n">
        <v>116.5477</v>
      </c>
      <c r="C13" s="1" t="n">
        <v>31.376</v>
      </c>
      <c r="D13" s="1" t="n">
        <v>270</v>
      </c>
      <c r="E13" s="1" t="n">
        <v>1110101</v>
      </c>
      <c r="F13" s="1" t="inlineStr">
        <is>
          <t>Capacitor,X7R,47N,50V,10%,0603(1608)</t>
        </is>
      </c>
    </row>
    <row r="14">
      <c r="A14" s="1" t="inlineStr">
        <is>
          <t>C120</t>
        </is>
      </c>
      <c r="B14" s="1" t="n">
        <v>116.5477</v>
      </c>
      <c r="C14" s="1" t="n">
        <v>28.726</v>
      </c>
      <c r="D14" s="1" t="n">
        <v>270</v>
      </c>
      <c r="E14" s="1" t="n">
        <v>1110101</v>
      </c>
      <c r="F14" s="1" t="inlineStr">
        <is>
          <t>Capacitor,X7R,47N,50V,10%,0603(1608)</t>
        </is>
      </c>
    </row>
    <row r="15">
      <c r="A15" s="1" t="inlineStr">
        <is>
          <t>C121</t>
        </is>
      </c>
      <c r="B15" s="1" t="n">
        <v>116.5477</v>
      </c>
      <c r="C15" s="1" t="n">
        <v>26.026</v>
      </c>
      <c r="D15" s="1" t="n">
        <v>270</v>
      </c>
      <c r="E15" s="1" t="n">
        <v>1110101</v>
      </c>
      <c r="F15" s="1" t="inlineStr">
        <is>
          <t>Capacitor,X7R,47N,50V,10%,0603(1608)</t>
        </is>
      </c>
    </row>
    <row r="16">
      <c r="A16" s="1" t="inlineStr">
        <is>
          <t>C122</t>
        </is>
      </c>
      <c r="B16" s="1" t="n">
        <v>106.8727</v>
      </c>
      <c r="C16" s="1" t="n">
        <v>63.001</v>
      </c>
      <c r="D16" s="1" t="n">
        <v>360</v>
      </c>
      <c r="E16" s="1" t="n">
        <v>1110101</v>
      </c>
      <c r="F16" s="1" t="inlineStr">
        <is>
          <t>Capacitor,X7R,47N,50V,10%,0603(1608)</t>
        </is>
      </c>
    </row>
    <row r="17">
      <c r="A17" s="1" t="inlineStr">
        <is>
          <t>C123</t>
        </is>
      </c>
      <c r="B17" s="1" t="n">
        <v>104.2227</v>
      </c>
      <c r="C17" s="1" t="n">
        <v>63.001</v>
      </c>
      <c r="D17" s="1" t="n">
        <v>180</v>
      </c>
      <c r="E17" s="1" t="n">
        <v>1110101</v>
      </c>
      <c r="F17" s="1" t="inlineStr">
        <is>
          <t>Capacitor,X7R,47N,50V,10%,0603(1608)</t>
        </is>
      </c>
    </row>
    <row r="18">
      <c r="A18" s="1" t="inlineStr">
        <is>
          <t>C124</t>
        </is>
      </c>
      <c r="B18" s="1" t="n">
        <v>101.5727</v>
      </c>
      <c r="C18" s="1" t="n">
        <v>63.001</v>
      </c>
      <c r="D18" s="1" t="n">
        <v>360</v>
      </c>
      <c r="E18" s="1" t="n">
        <v>1110101</v>
      </c>
      <c r="F18" s="1" t="inlineStr">
        <is>
          <t>Capacitor,X7R,47N,50V,10%,0603(1608)</t>
        </is>
      </c>
    </row>
    <row r="19">
      <c r="A19" s="1" t="inlineStr">
        <is>
          <t>C125</t>
        </is>
      </c>
      <c r="B19" s="1" t="n">
        <v>96.2727</v>
      </c>
      <c r="C19" s="1" t="n">
        <v>63.001</v>
      </c>
      <c r="D19" s="1" t="n">
        <v>360</v>
      </c>
      <c r="E19" s="1" t="n">
        <v>1110101</v>
      </c>
      <c r="F19" s="1" t="inlineStr">
        <is>
          <t>Capacitor,X7R,47N,50V,10%,0603(1608)</t>
        </is>
      </c>
    </row>
    <row r="20">
      <c r="A20" s="1" t="inlineStr">
        <is>
          <t>C126</t>
        </is>
      </c>
      <c r="B20" s="1" t="n">
        <v>90.9727</v>
      </c>
      <c r="C20" s="1" t="n">
        <v>63.001</v>
      </c>
      <c r="D20" s="1" t="n">
        <v>360</v>
      </c>
      <c r="E20" s="1" t="n">
        <v>1110101</v>
      </c>
      <c r="F20" s="1" t="inlineStr">
        <is>
          <t>Capacitor,X7R,47N,50V,10%,0603(1608)</t>
        </is>
      </c>
    </row>
    <row r="21">
      <c r="A21" s="1" t="inlineStr">
        <is>
          <t>C127</t>
        </is>
      </c>
      <c r="B21" s="1" t="n">
        <v>88.3227</v>
      </c>
      <c r="C21" s="1" t="n">
        <v>63.001</v>
      </c>
      <c r="D21" s="1" t="n">
        <v>360</v>
      </c>
      <c r="E21" s="1" t="n">
        <v>1110101</v>
      </c>
      <c r="F21" s="1" t="inlineStr">
        <is>
          <t>Capacitor,X7R,47N,50V,10%,0603(1608)</t>
        </is>
      </c>
    </row>
    <row r="22">
      <c r="A22" s="1" t="inlineStr">
        <is>
          <t>C128</t>
        </is>
      </c>
      <c r="B22" s="1" t="n">
        <v>85.67270000000001</v>
      </c>
      <c r="C22" s="1" t="n">
        <v>63.001</v>
      </c>
      <c r="D22" s="1" t="n">
        <v>360</v>
      </c>
      <c r="E22" s="1" t="n">
        <v>1110101</v>
      </c>
      <c r="F22" s="1" t="inlineStr">
        <is>
          <t>Capacitor,X7R,47N,50V,10%,0603(1608)</t>
        </is>
      </c>
    </row>
    <row r="23">
      <c r="A23" s="1" t="inlineStr">
        <is>
          <t>C129</t>
        </is>
      </c>
      <c r="B23" s="1" t="n">
        <v>87.6519</v>
      </c>
      <c r="C23" s="1" t="n">
        <v>37.5692</v>
      </c>
      <c r="D23" s="1" t="n">
        <v>90</v>
      </c>
      <c r="E23" s="1" t="n">
        <v>1110101</v>
      </c>
      <c r="F23" s="1" t="inlineStr">
        <is>
          <t>Capacitor,X7R,47N,50V,10%,0603(1608)</t>
        </is>
      </c>
    </row>
    <row r="24">
      <c r="A24" s="1" t="inlineStr">
        <is>
          <t>C130</t>
        </is>
      </c>
      <c r="B24" s="1" t="n">
        <v>89.1977</v>
      </c>
      <c r="C24" s="1" t="n">
        <v>37.576</v>
      </c>
      <c r="D24" s="1" t="n">
        <v>90</v>
      </c>
      <c r="E24" s="1" t="n">
        <v>1110101</v>
      </c>
      <c r="F24" s="1" t="inlineStr">
        <is>
          <t>Capacitor,X7R,47N,50V,10%,0603(1608)</t>
        </is>
      </c>
    </row>
    <row r="25">
      <c r="A25" s="1" t="inlineStr">
        <is>
          <t>C161</t>
        </is>
      </c>
      <c r="B25" s="1" t="n">
        <v>49.325</v>
      </c>
      <c r="C25" s="1" t="n">
        <v>98.4384</v>
      </c>
      <c r="D25" s="1" t="n">
        <v>270</v>
      </c>
      <c r="E25" s="1" t="n">
        <v>1110118</v>
      </c>
      <c r="F25" s="1" t="inlineStr">
        <is>
          <t>Capacitor,X7R,100N,50V,10%,0402(1005)</t>
        </is>
      </c>
    </row>
    <row r="26">
      <c r="A26" s="1" t="inlineStr">
        <is>
          <t>C162</t>
        </is>
      </c>
      <c r="B26" s="1" t="n">
        <v>45.1227</v>
      </c>
      <c r="C26" s="1" t="n">
        <v>102.826</v>
      </c>
      <c r="D26" s="1" t="n">
        <v>90</v>
      </c>
      <c r="E26" s="1" t="n">
        <v>1110095</v>
      </c>
      <c r="F26" s="1" t="inlineStr">
        <is>
          <t>Capacitor,X7R,100N,50V,10%,0603(1608)</t>
        </is>
      </c>
    </row>
    <row r="27">
      <c r="A27" s="1" t="inlineStr">
        <is>
          <t>C164</t>
        </is>
      </c>
      <c r="B27" s="1" t="n">
        <v>25.6477</v>
      </c>
      <c r="C27" s="1" t="n">
        <v>116.176</v>
      </c>
      <c r="D27" s="1" t="n">
        <v>90</v>
      </c>
      <c r="E27" s="1" t="n">
        <v>1110101</v>
      </c>
      <c r="F27" s="1" t="inlineStr">
        <is>
          <t>Capacitor,X7R,47N,50V,10%,0603(1608)</t>
        </is>
      </c>
    </row>
    <row r="28">
      <c r="A28" s="1" t="inlineStr">
        <is>
          <t>C168</t>
        </is>
      </c>
      <c r="B28" s="1" t="n">
        <v>20.0977</v>
      </c>
      <c r="C28" s="1" t="n">
        <v>116.176</v>
      </c>
      <c r="D28" s="1" t="n">
        <v>90</v>
      </c>
      <c r="E28" s="1" t="n">
        <v>1110101</v>
      </c>
      <c r="F28" s="1" t="inlineStr">
        <is>
          <t>Capacitor,X7R,47N,50V,10%,0603(1608)</t>
        </is>
      </c>
    </row>
    <row r="29">
      <c r="A29" s="1" t="inlineStr">
        <is>
          <t>C171</t>
        </is>
      </c>
      <c r="B29" s="1" t="n">
        <v>33.8977</v>
      </c>
      <c r="C29" s="1" t="n">
        <v>98.45099999999999</v>
      </c>
      <c r="D29" s="1" t="n">
        <v>270</v>
      </c>
      <c r="E29" s="1" t="n">
        <v>1110118</v>
      </c>
      <c r="F29" s="1" t="inlineStr">
        <is>
          <t>Capacitor,X7R,100N,50V,10%,0402(1005)</t>
        </is>
      </c>
    </row>
    <row r="30">
      <c r="A30" s="1" t="inlineStr">
        <is>
          <t>C172</t>
        </is>
      </c>
      <c r="B30" s="1" t="n">
        <v>29.7227</v>
      </c>
      <c r="C30" s="1" t="n">
        <v>103.276</v>
      </c>
      <c r="D30" s="1" t="n">
        <v>90</v>
      </c>
      <c r="E30" s="1" t="n">
        <v>1110095</v>
      </c>
      <c r="F30" s="1" t="inlineStr">
        <is>
          <t>Capacitor,X7R,100N,50V,10%,0603(1608)</t>
        </is>
      </c>
    </row>
    <row r="31">
      <c r="A31" s="1" t="inlineStr">
        <is>
          <t>C175</t>
        </is>
      </c>
      <c r="B31" s="1" t="n">
        <v>4.6477</v>
      </c>
      <c r="C31" s="1" t="n">
        <v>28.201</v>
      </c>
      <c r="D31" s="1" t="n">
        <v>270</v>
      </c>
      <c r="E31" s="1" t="n">
        <v>1110101</v>
      </c>
      <c r="F31" s="1" t="inlineStr">
        <is>
          <t>Capacitor,X7R,47N,50V,10%,0603(1608)</t>
        </is>
      </c>
    </row>
    <row r="32">
      <c r="A32" s="1" t="inlineStr">
        <is>
          <t>C176</t>
        </is>
      </c>
      <c r="B32" s="1" t="n">
        <v>12.5227</v>
      </c>
      <c r="C32" s="1" t="n">
        <v>28.751</v>
      </c>
      <c r="D32" s="1" t="n">
        <v>360</v>
      </c>
      <c r="E32" s="1" t="n">
        <v>1110101</v>
      </c>
      <c r="F32" s="1" t="inlineStr">
        <is>
          <t>Capacitor,X7R,47N,50V,10%,0603(1608)</t>
        </is>
      </c>
    </row>
    <row r="33">
      <c r="A33" s="1" t="inlineStr">
        <is>
          <t>C186</t>
        </is>
      </c>
      <c r="B33" s="1" t="n">
        <v>12.1477</v>
      </c>
      <c r="C33" s="1" t="n">
        <v>60.876</v>
      </c>
      <c r="D33" s="1" t="n">
        <v>270</v>
      </c>
      <c r="E33" s="1" t="n">
        <v>1110101</v>
      </c>
      <c r="F33" s="1" t="inlineStr">
        <is>
          <t>Capacitor,X7R,47N,50V,10%,0603(1608)</t>
        </is>
      </c>
    </row>
    <row r="34">
      <c r="A34" s="1" t="inlineStr">
        <is>
          <t>C204</t>
        </is>
      </c>
      <c r="B34" s="1" t="n">
        <v>117.5058</v>
      </c>
      <c r="C34" s="1" t="n">
        <v>63.001</v>
      </c>
      <c r="D34" s="1" t="n">
        <v>180</v>
      </c>
      <c r="E34" s="1" t="n">
        <v>1110101</v>
      </c>
      <c r="F34" s="1" t="inlineStr">
        <is>
          <t>Capacitor,X7R,47N,50V,10%,0603(1608)</t>
        </is>
      </c>
    </row>
    <row r="35">
      <c r="A35" s="1" t="inlineStr">
        <is>
          <t>C211</t>
        </is>
      </c>
      <c r="B35" s="1" t="n">
        <v>68.1477</v>
      </c>
      <c r="C35" s="1" t="n">
        <v>58.001</v>
      </c>
      <c r="D35" s="1" t="n">
        <v>270</v>
      </c>
      <c r="E35" s="1" t="n">
        <v>1110075</v>
      </c>
      <c r="F35" s="1" t="inlineStr">
        <is>
          <t>Capacitor,X7R,10N,50V,10%,0603(1608)</t>
        </is>
      </c>
    </row>
    <row r="36">
      <c r="A36" s="1" t="inlineStr">
        <is>
          <t>C212</t>
        </is>
      </c>
      <c r="B36" s="1" t="n">
        <v>79.24769999999999</v>
      </c>
      <c r="C36" s="1" t="n">
        <v>58.326</v>
      </c>
      <c r="D36" s="1" t="n">
        <v>270</v>
      </c>
      <c r="E36" s="1" t="n">
        <v>1110569</v>
      </c>
      <c r="F36" s="1" t="inlineStr">
        <is>
          <t>Capacitor,X7R,10N,50V,10%,0402(1005)</t>
        </is>
      </c>
    </row>
    <row r="37">
      <c r="A37" s="1" t="inlineStr">
        <is>
          <t>C224</t>
        </is>
      </c>
      <c r="B37" s="1" t="n">
        <v>41.7227</v>
      </c>
      <c r="C37" s="1" t="n">
        <v>60.051</v>
      </c>
      <c r="D37" s="1" t="n">
        <v>180</v>
      </c>
      <c r="E37" s="1" t="n">
        <v>1110101</v>
      </c>
      <c r="F37" s="1" t="inlineStr">
        <is>
          <t>Capacitor,X7R,47N,50V,10%,0603(1608)</t>
        </is>
      </c>
    </row>
    <row r="38">
      <c r="A38" s="1" t="inlineStr">
        <is>
          <t>C225</t>
        </is>
      </c>
      <c r="B38" s="1" t="n">
        <v>63.0997</v>
      </c>
      <c r="C38" s="1" t="n">
        <v>89.651</v>
      </c>
      <c r="D38" s="1" t="n">
        <v>270</v>
      </c>
      <c r="E38" s="1" t="n">
        <v>1110569</v>
      </c>
      <c r="F38" s="1" t="inlineStr">
        <is>
          <t>Capacitor,X7R,10N,50V,10%,0402(1005)</t>
        </is>
      </c>
    </row>
    <row r="39">
      <c r="A39" s="1" t="inlineStr">
        <is>
          <t>C229</t>
        </is>
      </c>
      <c r="B39" s="1" t="n">
        <v>63.0997</v>
      </c>
      <c r="C39" s="1" t="n">
        <v>92.301</v>
      </c>
      <c r="D39" s="1" t="n">
        <v>90</v>
      </c>
      <c r="E39" s="1" t="n">
        <v>1110569</v>
      </c>
      <c r="F39" s="1" t="inlineStr">
        <is>
          <t>Capacitor,X7R,10N,50V,10%,0402(1005)</t>
        </is>
      </c>
    </row>
    <row r="40">
      <c r="A40" s="1" t="inlineStr">
        <is>
          <t>C230</t>
        </is>
      </c>
      <c r="B40" s="1" t="n">
        <v>7.5477</v>
      </c>
      <c r="C40" s="1" t="n">
        <v>83.676</v>
      </c>
      <c r="D40" s="1" t="n">
        <v>270</v>
      </c>
      <c r="E40" s="1" t="n">
        <v>1110095</v>
      </c>
      <c r="F40" s="1" t="inlineStr">
        <is>
          <t>Capacitor,X7R,100N,50V,10%,0603(1608)</t>
        </is>
      </c>
    </row>
    <row r="41">
      <c r="A41" s="1" t="inlineStr">
        <is>
          <t>C231</t>
        </is>
      </c>
      <c r="B41" s="1" t="n">
        <v>79.37269999999999</v>
      </c>
      <c r="C41" s="1" t="n">
        <v>35.2073</v>
      </c>
      <c r="D41" s="1" t="n">
        <v>180</v>
      </c>
      <c r="E41" s="1" t="n">
        <v>1110135</v>
      </c>
      <c r="F41" s="1" t="inlineStr">
        <is>
          <t>Capacitor,X7R,1U,16V,10%,0603(1608)</t>
        </is>
      </c>
    </row>
    <row r="42">
      <c r="A42" s="1" t="inlineStr">
        <is>
          <t>C232</t>
        </is>
      </c>
      <c r="B42" s="1" t="n">
        <v>79.49769999999999</v>
      </c>
      <c r="C42" s="1" t="n">
        <v>33.651</v>
      </c>
      <c r="D42" s="1" t="n">
        <v>180</v>
      </c>
      <c r="E42" s="1" t="n">
        <v>1110118</v>
      </c>
      <c r="F42" s="1" t="inlineStr">
        <is>
          <t>Capacitor,X7R,100N,50V,10%,0402(1005)</t>
        </is>
      </c>
    </row>
    <row r="43">
      <c r="A43" s="1" t="inlineStr">
        <is>
          <t>C242</t>
        </is>
      </c>
      <c r="B43" s="1" t="n">
        <v>56.4977</v>
      </c>
      <c r="C43" s="1" t="n">
        <v>88.401</v>
      </c>
      <c r="D43" s="1" t="n">
        <v>360</v>
      </c>
      <c r="E43" s="1" t="n">
        <v>1110569</v>
      </c>
      <c r="F43" s="1" t="inlineStr">
        <is>
          <t>Capacitor,X7R,10N,50V,10%,0402(1005)</t>
        </is>
      </c>
    </row>
    <row r="44">
      <c r="A44" s="1" t="inlineStr">
        <is>
          <t>C244</t>
        </is>
      </c>
      <c r="B44" s="1" t="n">
        <v>16.8477</v>
      </c>
      <c r="C44" s="1" t="n">
        <v>60.926</v>
      </c>
      <c r="D44" s="1" t="n">
        <v>90</v>
      </c>
      <c r="E44" s="1" t="n">
        <v>1110101</v>
      </c>
      <c r="F44" s="1" t="inlineStr">
        <is>
          <t>Capacitor,X7R,47N,50V,10%,0603(1608)</t>
        </is>
      </c>
    </row>
    <row r="45">
      <c r="A45" s="1" t="inlineStr">
        <is>
          <t>C245</t>
        </is>
      </c>
      <c r="B45" s="1" t="n">
        <v>18.7977</v>
      </c>
      <c r="C45" s="1" t="n">
        <v>71.401</v>
      </c>
      <c r="D45" s="1" t="n">
        <v>180</v>
      </c>
      <c r="E45" s="1" t="n">
        <v>1110569</v>
      </c>
      <c r="F45" s="1" t="inlineStr">
        <is>
          <t>Capacitor,X7R,10N,50V,10%,0402(1005)</t>
        </is>
      </c>
    </row>
    <row r="46">
      <c r="A46" s="1" t="inlineStr">
        <is>
          <t>C246</t>
        </is>
      </c>
      <c r="B46" s="1" t="n">
        <v>20.4477</v>
      </c>
      <c r="C46" s="1" t="n">
        <v>60.926</v>
      </c>
      <c r="D46" s="1" t="n">
        <v>90</v>
      </c>
      <c r="E46" s="1" t="n">
        <v>1110101</v>
      </c>
      <c r="F46" s="1" t="inlineStr">
        <is>
          <t>Capacitor,X7R,47N,50V,10%,0603(1608)</t>
        </is>
      </c>
    </row>
    <row r="47">
      <c r="A47" s="1" t="inlineStr">
        <is>
          <t>C247</t>
        </is>
      </c>
      <c r="B47" s="1" t="n">
        <v>22.7977</v>
      </c>
      <c r="C47" s="1" t="n">
        <v>71.401</v>
      </c>
      <c r="D47" s="1" t="n">
        <v>180</v>
      </c>
      <c r="E47" s="1" t="n">
        <v>1110569</v>
      </c>
      <c r="F47" s="1" t="inlineStr">
        <is>
          <t>Capacitor,X7R,10N,50V,10%,0402(1005)</t>
        </is>
      </c>
    </row>
    <row r="48">
      <c r="A48" s="1" t="inlineStr">
        <is>
          <t>C250</t>
        </is>
      </c>
      <c r="B48" s="1" t="n">
        <v>114.8727</v>
      </c>
      <c r="C48" s="1" t="n">
        <v>63.001</v>
      </c>
      <c r="D48" s="1" t="n">
        <v>180</v>
      </c>
      <c r="E48" s="1" t="n">
        <v>1110101</v>
      </c>
      <c r="F48" s="1" t="inlineStr">
        <is>
          <t>Capacitor,X7R,47N,50V,10%,0603(1608)</t>
        </is>
      </c>
    </row>
    <row r="49">
      <c r="A49" s="1" t="inlineStr">
        <is>
          <t>C251</t>
        </is>
      </c>
      <c r="B49" s="1" t="n">
        <v>115.1977</v>
      </c>
      <c r="C49" s="1" t="n">
        <v>72.0179</v>
      </c>
      <c r="D49" s="1" t="n">
        <v>90</v>
      </c>
      <c r="E49" s="1" t="n">
        <v>1110569</v>
      </c>
      <c r="F49" s="1" t="inlineStr">
        <is>
          <t>Capacitor,X7R,10N,50V,10%,0402(1005)</t>
        </is>
      </c>
    </row>
    <row r="50">
      <c r="A50" s="1" t="inlineStr">
        <is>
          <t>C252</t>
        </is>
      </c>
      <c r="B50" s="1" t="n">
        <v>112.2227</v>
      </c>
      <c r="C50" s="1" t="n">
        <v>63.001</v>
      </c>
      <c r="D50" s="1" t="n">
        <v>360</v>
      </c>
      <c r="E50" s="1" t="n">
        <v>1110101</v>
      </c>
      <c r="F50" s="1" t="inlineStr">
        <is>
          <t>Capacitor,X7R,47N,50V,10%,0603(1608)</t>
        </is>
      </c>
    </row>
    <row r="51">
      <c r="A51" s="1" t="inlineStr">
        <is>
          <t>C253</t>
        </is>
      </c>
      <c r="B51" s="1" t="n">
        <v>113.1149</v>
      </c>
      <c r="C51" s="1" t="n">
        <v>72.0179</v>
      </c>
      <c r="D51" s="1" t="n">
        <v>90</v>
      </c>
      <c r="E51" s="1" t="n">
        <v>1110569</v>
      </c>
      <c r="F51" s="1" t="inlineStr">
        <is>
          <t>Capacitor,X7R,10N,50V,10%,0402(1005)</t>
        </is>
      </c>
    </row>
    <row r="52">
      <c r="A52" s="1" t="inlineStr">
        <is>
          <t>C254</t>
        </is>
      </c>
      <c r="B52" s="1" t="n">
        <v>109.5227</v>
      </c>
      <c r="C52" s="1" t="n">
        <v>63.001</v>
      </c>
      <c r="D52" s="1" t="n">
        <v>360</v>
      </c>
      <c r="E52" s="1" t="n">
        <v>1110101</v>
      </c>
      <c r="F52" s="1" t="inlineStr">
        <is>
          <t>Capacitor,X7R,47N,50V,10%,0603(1608)</t>
        </is>
      </c>
    </row>
    <row r="53">
      <c r="A53" s="1" t="inlineStr">
        <is>
          <t>C255</t>
        </is>
      </c>
      <c r="B53" s="1" t="n">
        <v>106.5477</v>
      </c>
      <c r="C53" s="1" t="n">
        <v>71.9179</v>
      </c>
      <c r="D53" s="1" t="n">
        <v>90</v>
      </c>
      <c r="E53" s="1" t="n">
        <v>1110569</v>
      </c>
      <c r="F53" s="1" t="inlineStr">
        <is>
          <t>Capacitor,X7R,10N,50V,10%,0402(1005)</t>
        </is>
      </c>
    </row>
    <row r="54">
      <c r="A54" s="1" t="inlineStr">
        <is>
          <t>C256</t>
        </is>
      </c>
      <c r="B54" s="1" t="n">
        <v>36.2727</v>
      </c>
      <c r="C54" s="1" t="n">
        <v>60.051</v>
      </c>
      <c r="D54" s="1" t="n">
        <v>360</v>
      </c>
      <c r="E54" s="1" t="n">
        <v>1110101</v>
      </c>
      <c r="F54" s="1" t="inlineStr">
        <is>
          <t>Capacitor,X7R,47N,50V,10%,0603(1608)</t>
        </is>
      </c>
    </row>
    <row r="55">
      <c r="A55" s="1" t="inlineStr">
        <is>
          <t>C257</t>
        </is>
      </c>
      <c r="B55" s="1" t="n">
        <v>36.4477</v>
      </c>
      <c r="C55" s="1" t="n">
        <v>66.651</v>
      </c>
      <c r="D55" s="1" t="n">
        <v>180</v>
      </c>
      <c r="E55" s="1" t="n">
        <v>1110569</v>
      </c>
      <c r="F55" s="1" t="inlineStr">
        <is>
          <t>Capacitor,X7R,10N,50V,10%,0402(1005)</t>
        </is>
      </c>
    </row>
    <row r="56">
      <c r="A56" s="1" t="inlineStr">
        <is>
          <t>C258</t>
        </is>
      </c>
      <c r="B56" s="1" t="n">
        <v>39.0227</v>
      </c>
      <c r="C56" s="1" t="n">
        <v>60.051</v>
      </c>
      <c r="D56" s="1" t="n">
        <v>180</v>
      </c>
      <c r="E56" s="1" t="n">
        <v>1110101</v>
      </c>
      <c r="F56" s="1" t="inlineStr">
        <is>
          <t>Capacitor,X7R,47N,50V,10%,0603(1608)</t>
        </is>
      </c>
    </row>
    <row r="57">
      <c r="A57" s="1" t="inlineStr">
        <is>
          <t>C259</t>
        </is>
      </c>
      <c r="B57" s="1" t="n">
        <v>38.8477</v>
      </c>
      <c r="C57" s="1" t="n">
        <v>66.651</v>
      </c>
      <c r="D57" s="1" t="n">
        <v>360</v>
      </c>
      <c r="E57" s="1" t="n">
        <v>1110569</v>
      </c>
      <c r="F57" s="1" t="inlineStr">
        <is>
          <t>Capacitor,X7R,10N,50V,10%,0402(1005)</t>
        </is>
      </c>
    </row>
    <row r="58">
      <c r="A58" s="1" t="inlineStr">
        <is>
          <t>C260</t>
        </is>
      </c>
      <c r="B58" s="1" t="n">
        <v>34.8727</v>
      </c>
      <c r="C58" s="1" t="n">
        <v>117.101</v>
      </c>
      <c r="D58" s="1" t="n">
        <v>180</v>
      </c>
      <c r="E58" s="1" t="n">
        <v>1110101</v>
      </c>
      <c r="F58" s="1" t="inlineStr">
        <is>
          <t>Capacitor,X7R,47N,50V,10%,0603(1608)</t>
        </is>
      </c>
    </row>
    <row r="59">
      <c r="A59" s="1" t="inlineStr">
        <is>
          <t>C261</t>
        </is>
      </c>
      <c r="B59" s="1" t="n">
        <v>34.9977</v>
      </c>
      <c r="C59" s="1" t="n">
        <v>110.601</v>
      </c>
      <c r="D59" s="1" t="n">
        <v>360</v>
      </c>
      <c r="E59" s="1" t="n">
        <v>1110569</v>
      </c>
      <c r="F59" s="1" t="inlineStr">
        <is>
          <t>Capacitor,X7R,10N,50V,10%,0402(1005)</t>
        </is>
      </c>
    </row>
    <row r="60">
      <c r="A60" s="1" t="inlineStr">
        <is>
          <t>C264</t>
        </is>
      </c>
      <c r="B60" s="1" t="n">
        <v>38.6227</v>
      </c>
      <c r="C60" s="1" t="n">
        <v>117.051</v>
      </c>
      <c r="D60" s="1" t="n">
        <v>360</v>
      </c>
      <c r="E60" s="1" t="n">
        <v>1110101</v>
      </c>
      <c r="F60" s="1" t="inlineStr">
        <is>
          <t>Capacitor,X7R,47N,50V,10%,0603(1608)</t>
        </is>
      </c>
    </row>
    <row r="61">
      <c r="A61" s="1" t="inlineStr">
        <is>
          <t>C265</t>
        </is>
      </c>
      <c r="B61" s="1" t="n">
        <v>38.4977</v>
      </c>
      <c r="C61" s="1" t="n">
        <v>110.601</v>
      </c>
      <c r="D61" s="1" t="n">
        <v>180</v>
      </c>
      <c r="E61" s="1" t="n">
        <v>1110569</v>
      </c>
      <c r="F61" s="1" t="inlineStr">
        <is>
          <t>Capacitor,X7R,10N,50V,10%,0402(1005)</t>
        </is>
      </c>
    </row>
    <row r="62">
      <c r="A62" s="1" t="inlineStr">
        <is>
          <t>C272</t>
        </is>
      </c>
      <c r="B62" s="1" t="n">
        <v>15.1727</v>
      </c>
      <c r="C62" s="1" t="n">
        <v>28.751</v>
      </c>
      <c r="D62" s="1" t="n">
        <v>180</v>
      </c>
      <c r="E62" s="1" t="n">
        <v>1110101</v>
      </c>
      <c r="F62" s="1" t="inlineStr">
        <is>
          <t>Capacitor,X7R,47N,50V,10%,0603(1608)</t>
        </is>
      </c>
    </row>
    <row r="63">
      <c r="A63" s="1" t="inlineStr">
        <is>
          <t>C273</t>
        </is>
      </c>
      <c r="B63" s="1" t="n">
        <v>47.6477</v>
      </c>
      <c r="C63" s="1" t="n">
        <v>81.7942</v>
      </c>
      <c r="D63" s="1" t="n">
        <v>180</v>
      </c>
      <c r="E63" s="1" t="n">
        <v>1110569</v>
      </c>
      <c r="F63" s="1" t="inlineStr">
        <is>
          <t>Capacitor,X7R,10N,50V,10%,0402(1005)</t>
        </is>
      </c>
    </row>
    <row r="64">
      <c r="A64" s="1" t="inlineStr">
        <is>
          <t>C274</t>
        </is>
      </c>
      <c r="B64" s="1" t="n">
        <v>29.565</v>
      </c>
      <c r="C64" s="1" t="n">
        <v>28.751</v>
      </c>
      <c r="D64" s="1" t="n">
        <v>180</v>
      </c>
      <c r="E64" s="1" t="n">
        <v>1110101</v>
      </c>
      <c r="F64" s="1" t="inlineStr">
        <is>
          <t>Capacitor,X7R,47N,50V,10%,0603(1608)</t>
        </is>
      </c>
    </row>
    <row r="65">
      <c r="A65" s="1" t="inlineStr">
        <is>
          <t>C275</t>
        </is>
      </c>
      <c r="B65" s="1" t="n">
        <v>47.6477</v>
      </c>
      <c r="C65" s="1" t="n">
        <v>77.45099999999999</v>
      </c>
      <c r="D65" s="1" t="n">
        <v>180</v>
      </c>
      <c r="E65" s="1" t="n">
        <v>1110569</v>
      </c>
      <c r="F65" s="1" t="inlineStr">
        <is>
          <t>Capacitor,X7R,10N,50V,10%,0402(1005)</t>
        </is>
      </c>
    </row>
    <row r="66">
      <c r="A66" s="1" t="inlineStr">
        <is>
          <t>C276</t>
        </is>
      </c>
      <c r="B66" s="1" t="n">
        <v>49.3227</v>
      </c>
      <c r="C66" s="1" t="n">
        <v>39.001</v>
      </c>
      <c r="D66" s="1" t="n">
        <v>360</v>
      </c>
      <c r="E66" s="1" t="n">
        <v>1110101</v>
      </c>
      <c r="F66" s="1" t="inlineStr">
        <is>
          <t>Capacitor,X7R,47N,50V,10%,0603(1608)</t>
        </is>
      </c>
    </row>
    <row r="67">
      <c r="A67" s="1" t="inlineStr">
        <is>
          <t>C278</t>
        </is>
      </c>
      <c r="B67" s="1" t="n">
        <v>19.9727</v>
      </c>
      <c r="C67" s="1" t="n">
        <v>28.751</v>
      </c>
      <c r="D67" s="1" t="n">
        <v>180</v>
      </c>
      <c r="E67" s="1" t="n">
        <v>1110101</v>
      </c>
      <c r="F67" s="1" t="inlineStr">
        <is>
          <t>Capacitor,X7R,47N,50V,10%,0603(1608)</t>
        </is>
      </c>
    </row>
    <row r="68">
      <c r="A68" s="1" t="inlineStr">
        <is>
          <t>C279</t>
        </is>
      </c>
      <c r="B68" s="1" t="n">
        <v>47.6477</v>
      </c>
      <c r="C68" s="1" t="n">
        <v>80.48950000000001</v>
      </c>
      <c r="D68" s="1" t="n">
        <v>180</v>
      </c>
      <c r="E68" s="1" t="n">
        <v>1110569</v>
      </c>
      <c r="F68" s="1" t="inlineStr">
        <is>
          <t>Capacitor,X7R,10N,50V,10%,0402(1005)</t>
        </is>
      </c>
    </row>
    <row r="69">
      <c r="A69" s="1" t="inlineStr">
        <is>
          <t>C280</t>
        </is>
      </c>
      <c r="B69" s="1" t="n">
        <v>24.765</v>
      </c>
      <c r="C69" s="1" t="n">
        <v>28.751</v>
      </c>
      <c r="D69" s="1" t="n">
        <v>180</v>
      </c>
      <c r="E69" s="1" t="n">
        <v>1110101</v>
      </c>
      <c r="F69" s="1" t="inlineStr">
        <is>
          <t>Capacitor,X7R,47N,50V,10%,0603(1608)</t>
        </is>
      </c>
    </row>
    <row r="70">
      <c r="A70" s="1" t="inlineStr">
        <is>
          <t>C281</t>
        </is>
      </c>
      <c r="B70" s="1" t="n">
        <v>47.6477</v>
      </c>
      <c r="C70" s="1" t="n">
        <v>78.751</v>
      </c>
      <c r="D70" s="1" t="n">
        <v>180</v>
      </c>
      <c r="E70" s="1" t="n">
        <v>1110569</v>
      </c>
      <c r="F70" s="1" t="inlineStr">
        <is>
          <t>Capacitor,X7R,10N,50V,10%,0402(1005)</t>
        </is>
      </c>
    </row>
    <row r="71">
      <c r="A71" s="1" t="inlineStr">
        <is>
          <t>C282</t>
        </is>
      </c>
      <c r="B71" s="1" t="n">
        <v>63.0997</v>
      </c>
      <c r="C71" s="1" t="n">
        <v>84.45099999999999</v>
      </c>
      <c r="D71" s="1" t="n">
        <v>90</v>
      </c>
      <c r="E71" s="1" t="n">
        <v>1110569</v>
      </c>
      <c r="F71" s="1" t="inlineStr">
        <is>
          <t>Capacitor,X7R,10N,50V,10%,0402(1005)</t>
        </is>
      </c>
    </row>
    <row r="72">
      <c r="A72" s="1" t="inlineStr">
        <is>
          <t>C283</t>
        </is>
      </c>
      <c r="B72" s="1" t="n">
        <v>63.0997</v>
      </c>
      <c r="C72" s="1" t="n">
        <v>87.051</v>
      </c>
      <c r="D72" s="1" t="n">
        <v>270</v>
      </c>
      <c r="E72" s="1" t="n">
        <v>1110569</v>
      </c>
      <c r="F72" s="1" t="inlineStr">
        <is>
          <t>Capacitor,X7R,10N,50V,10%,0402(1005)</t>
        </is>
      </c>
    </row>
    <row r="73">
      <c r="A73" s="1" t="inlineStr">
        <is>
          <t>C284</t>
        </is>
      </c>
      <c r="B73" s="1" t="n">
        <v>15.2977</v>
      </c>
      <c r="C73" s="1" t="n">
        <v>60.926</v>
      </c>
      <c r="D73" s="1" t="n">
        <v>90</v>
      </c>
      <c r="E73" s="1" t="n">
        <v>1110101</v>
      </c>
      <c r="F73" s="1" t="inlineStr">
        <is>
          <t>Capacitor,X7R,47N,50V,10%,0603(1608)</t>
        </is>
      </c>
    </row>
    <row r="74">
      <c r="A74" s="1" t="inlineStr">
        <is>
          <t>C285</t>
        </is>
      </c>
      <c r="B74" s="1" t="n">
        <v>14.8477</v>
      </c>
      <c r="C74" s="1" t="n">
        <v>66.251</v>
      </c>
      <c r="D74" s="1" t="n">
        <v>180</v>
      </c>
      <c r="E74" s="1" t="n">
        <v>1110569</v>
      </c>
      <c r="F74" s="1" t="inlineStr">
        <is>
          <t>Capacitor,X7R,10N,50V,10%,0402(1005)</t>
        </is>
      </c>
    </row>
    <row r="75">
      <c r="A75" s="1" t="inlineStr">
        <is>
          <t>C286</t>
        </is>
      </c>
      <c r="B75" s="1" t="n">
        <v>24.6977</v>
      </c>
      <c r="C75" s="1" t="n">
        <v>60.576</v>
      </c>
      <c r="D75" s="1" t="n">
        <v>270</v>
      </c>
      <c r="E75" s="1" t="n">
        <v>1110101</v>
      </c>
      <c r="F75" s="1" t="inlineStr">
        <is>
          <t>Capacitor,X7R,47N,50V,10%,0603(1608)</t>
        </is>
      </c>
    </row>
    <row r="76">
      <c r="A76" s="1" t="inlineStr">
        <is>
          <t>C287</t>
        </is>
      </c>
      <c r="B76" s="1" t="n">
        <v>25.5477</v>
      </c>
      <c r="C76" s="1" t="n">
        <v>66.251</v>
      </c>
      <c r="D76" s="1" t="n">
        <v>180</v>
      </c>
      <c r="E76" s="1" t="n">
        <v>1110569</v>
      </c>
      <c r="F76" s="1" t="inlineStr">
        <is>
          <t>Capacitor,X7R,10N,50V,10%,0402(1005)</t>
        </is>
      </c>
    </row>
    <row r="77">
      <c r="A77" s="1" t="inlineStr">
        <is>
          <t>C288</t>
        </is>
      </c>
      <c r="B77" s="1" t="n">
        <v>27.9977</v>
      </c>
      <c r="C77" s="1" t="n">
        <v>60.576</v>
      </c>
      <c r="D77" s="1" t="n">
        <v>270</v>
      </c>
      <c r="E77" s="1" t="n">
        <v>1110101</v>
      </c>
      <c r="F77" s="1" t="inlineStr">
        <is>
          <t>Capacitor,X7R,47N,50V,10%,0603(1608)</t>
        </is>
      </c>
    </row>
    <row r="78">
      <c r="A78" s="1" t="inlineStr">
        <is>
          <t>C289</t>
        </is>
      </c>
      <c r="B78" s="1" t="n">
        <v>28.7977</v>
      </c>
      <c r="C78" s="1" t="n">
        <v>66.251</v>
      </c>
      <c r="D78" s="1" t="n">
        <v>180</v>
      </c>
      <c r="E78" s="1" t="n">
        <v>1110569</v>
      </c>
      <c r="F78" s="1" t="inlineStr">
        <is>
          <t>Capacitor,X7R,10N,50V,10%,0402(1005)</t>
        </is>
      </c>
    </row>
    <row r="79">
      <c r="A79" s="1" t="inlineStr">
        <is>
          <t>C295</t>
        </is>
      </c>
      <c r="B79" s="1" t="n">
        <v>47.6477</v>
      </c>
      <c r="C79" s="1" t="n">
        <v>84.86920000000001</v>
      </c>
      <c r="D79" s="1" t="n">
        <v>180</v>
      </c>
      <c r="E79" s="1" t="n">
        <v>1110569</v>
      </c>
      <c r="F79" s="1" t="inlineStr">
        <is>
          <t>Capacitor,X7R,10N,50V,10%,0402(1005)</t>
        </is>
      </c>
    </row>
    <row r="80">
      <c r="A80" s="1" t="inlineStr">
        <is>
          <t>C297</t>
        </is>
      </c>
      <c r="B80" s="1" t="n">
        <v>56.5977</v>
      </c>
      <c r="C80" s="1" t="n">
        <v>95.151</v>
      </c>
      <c r="D80" s="1" t="n">
        <v>180</v>
      </c>
      <c r="E80" s="1" t="n">
        <v>1110569</v>
      </c>
      <c r="F80" s="1" t="inlineStr">
        <is>
          <t>Capacitor,X7R,10N,50V,10%,0402(1005)</t>
        </is>
      </c>
    </row>
    <row r="81">
      <c r="A81" s="1" t="inlineStr">
        <is>
          <t>C299</t>
        </is>
      </c>
      <c r="B81" s="1" t="n">
        <v>47.6477</v>
      </c>
      <c r="C81" s="1" t="n">
        <v>74.3693</v>
      </c>
      <c r="D81" s="1" t="n">
        <v>180</v>
      </c>
      <c r="E81" s="1" t="n">
        <v>1110569</v>
      </c>
      <c r="F81" s="1" t="inlineStr">
        <is>
          <t>Capacitor,X7R,10N,50V,10%,0402(1005)</t>
        </is>
      </c>
    </row>
    <row r="82">
      <c r="A82" s="1" t="inlineStr">
        <is>
          <t>C303</t>
        </is>
      </c>
      <c r="B82" s="1" t="n">
        <v>47.6477</v>
      </c>
      <c r="C82" s="1" t="n">
        <v>75.70099999999999</v>
      </c>
      <c r="D82" s="1" t="n">
        <v>180</v>
      </c>
      <c r="E82" s="1" t="n">
        <v>1110569</v>
      </c>
      <c r="F82" s="1" t="inlineStr">
        <is>
          <t>Capacitor,X7R,10N,50V,10%,0402(1005)</t>
        </is>
      </c>
    </row>
    <row r="83">
      <c r="A83" s="1" t="inlineStr">
        <is>
          <t>C305</t>
        </is>
      </c>
      <c r="B83" s="1" t="n">
        <v>56.5977</v>
      </c>
      <c r="C83" s="1" t="n">
        <v>96.901</v>
      </c>
      <c r="D83" s="1" t="n">
        <v>180</v>
      </c>
      <c r="E83" s="1" t="n">
        <v>1110569</v>
      </c>
      <c r="F83" s="1" t="inlineStr">
        <is>
          <t>Capacitor,X7R,10N,50V,10%,0402(1005)</t>
        </is>
      </c>
    </row>
    <row r="84">
      <c r="A84" s="1" t="inlineStr">
        <is>
          <t>C307</t>
        </is>
      </c>
      <c r="B84" s="1" t="n">
        <v>47.6477</v>
      </c>
      <c r="C84" s="1" t="n">
        <v>83.5692</v>
      </c>
      <c r="D84" s="1" t="n">
        <v>180</v>
      </c>
      <c r="E84" s="1" t="n">
        <v>1110569</v>
      </c>
      <c r="F84" s="1" t="inlineStr">
        <is>
          <t>Capacitor,X7R,10N,50V,10%,0402(1005)</t>
        </is>
      </c>
    </row>
    <row r="85">
      <c r="A85" s="1" t="inlineStr">
        <is>
          <t>C334</t>
        </is>
      </c>
      <c r="B85" s="1" t="n">
        <v>96.7727</v>
      </c>
      <c r="C85" s="1" t="n">
        <v>89.851</v>
      </c>
      <c r="D85" s="1" t="n">
        <v>360</v>
      </c>
      <c r="E85" s="1" t="n">
        <v>1110095</v>
      </c>
      <c r="F85" s="1" t="inlineStr">
        <is>
          <t>Capacitor,X7R,100N,50V,10%,0603(1608)</t>
        </is>
      </c>
    </row>
    <row r="86">
      <c r="A86" s="1" t="inlineStr">
        <is>
          <t>D107</t>
        </is>
      </c>
      <c r="B86" s="1" t="n">
        <v>11.1477</v>
      </c>
      <c r="C86" s="1" t="n">
        <v>69.6785</v>
      </c>
      <c r="D86" s="1" t="n">
        <v>270</v>
      </c>
      <c r="E86" s="1" t="n">
        <v>1110901</v>
      </c>
      <c r="F86" s="1" t="inlineStr">
        <is>
          <t>Diode,Rectifier,General Purpose,600V,1A,SOD-323</t>
        </is>
      </c>
    </row>
    <row r="87">
      <c r="A87" s="1" t="inlineStr">
        <is>
          <t>D108</t>
        </is>
      </c>
      <c r="B87" s="1" t="n">
        <v>9.547700000000001</v>
      </c>
      <c r="C87" s="1" t="n">
        <v>69.6785</v>
      </c>
      <c r="D87" s="1" t="n">
        <v>270</v>
      </c>
      <c r="E87" s="1" t="n">
        <v>1110901</v>
      </c>
      <c r="F87" s="1" t="inlineStr">
        <is>
          <t>Diode,Rectifier,General Purpose,600V,1A,SOD-323</t>
        </is>
      </c>
    </row>
    <row r="88">
      <c r="A88" s="1" t="inlineStr">
        <is>
          <t>D111</t>
        </is>
      </c>
      <c r="B88" s="1" t="n">
        <v>24.3477</v>
      </c>
      <c r="C88" s="1" t="n">
        <v>113.0235</v>
      </c>
      <c r="D88" s="1" t="n">
        <v>270</v>
      </c>
      <c r="E88" s="1" t="n">
        <v>1110901</v>
      </c>
      <c r="F88" s="1" t="inlineStr">
        <is>
          <t>Diode,Rectifier,General Purpose,600V,1A,SOD-323</t>
        </is>
      </c>
    </row>
    <row r="89">
      <c r="A89" s="1" t="inlineStr">
        <is>
          <t>D115</t>
        </is>
      </c>
      <c r="B89" s="1" t="n">
        <v>21.4477</v>
      </c>
      <c r="C89" s="1" t="n">
        <v>113.0235</v>
      </c>
      <c r="D89" s="1" t="n">
        <v>270</v>
      </c>
      <c r="E89" s="1" t="n">
        <v>1110901</v>
      </c>
      <c r="F89" s="1" t="inlineStr">
        <is>
          <t>Diode,Rectifier,General Purpose,600V,1A,SOD-323</t>
        </is>
      </c>
    </row>
    <row r="90">
      <c r="A90" s="1" t="inlineStr">
        <is>
          <t>D124</t>
        </is>
      </c>
      <c r="B90" s="1" t="n">
        <v>5.2977</v>
      </c>
      <c r="C90" s="1" t="n">
        <v>63.7285</v>
      </c>
      <c r="D90" s="1" t="n">
        <v>90</v>
      </c>
      <c r="E90" s="1" t="n">
        <v>1110901</v>
      </c>
      <c r="F90" s="1" t="inlineStr">
        <is>
          <t>Diode,Rectifier,General Purpose,600V,1A,SOD-323</t>
        </is>
      </c>
    </row>
    <row r="91">
      <c r="A91" s="1" t="inlineStr">
        <is>
          <t>D159</t>
        </is>
      </c>
      <c r="B91" s="1" t="n">
        <v>59.6477</v>
      </c>
      <c r="C91" s="1" t="n">
        <v>89.251</v>
      </c>
      <c r="D91" s="1" t="n">
        <v>90</v>
      </c>
      <c r="E91" s="1" t="n">
        <v>1110914</v>
      </c>
      <c r="F91" s="1" t="inlineStr">
        <is>
          <t>Diode,Switching,70V,215mA,Dual,SOT-323</t>
        </is>
      </c>
    </row>
    <row r="92">
      <c r="A92" s="1" t="inlineStr">
        <is>
          <t>D160</t>
        </is>
      </c>
      <c r="B92" s="1" t="n">
        <v>59.6477</v>
      </c>
      <c r="C92" s="1" t="n">
        <v>92.70099999999999</v>
      </c>
      <c r="D92" s="1" t="n">
        <v>270</v>
      </c>
      <c r="E92" s="1" t="n">
        <v>1110914</v>
      </c>
      <c r="F92" s="1" t="inlineStr">
        <is>
          <t>Diode,Switching,70V,215mA,Dual,SOT-323</t>
        </is>
      </c>
    </row>
    <row r="93">
      <c r="A93" s="1" t="inlineStr">
        <is>
          <t>D161</t>
        </is>
      </c>
      <c r="B93" s="1" t="n">
        <v>59.6477</v>
      </c>
      <c r="C93" s="1" t="n">
        <v>81.401</v>
      </c>
      <c r="D93" s="1" t="n">
        <v>90</v>
      </c>
      <c r="E93" s="1" t="n">
        <v>1110914</v>
      </c>
      <c r="F93" s="1" t="inlineStr">
        <is>
          <t>Diode,Switching,70V,215mA,Dual,SOT-323</t>
        </is>
      </c>
    </row>
    <row r="94">
      <c r="A94" s="1" t="inlineStr">
        <is>
          <t>D162</t>
        </is>
      </c>
      <c r="B94" s="1" t="n">
        <v>25.5477</v>
      </c>
      <c r="C94" s="1" t="n">
        <v>73.001</v>
      </c>
      <c r="D94" s="1" t="n">
        <v>270</v>
      </c>
      <c r="E94" s="1" t="n">
        <v>1110914</v>
      </c>
      <c r="F94" s="1" t="inlineStr">
        <is>
          <t>Diode,Switching,70V,215mA,Dual,SOT-323</t>
        </is>
      </c>
    </row>
    <row r="95">
      <c r="A95" s="1" t="inlineStr">
        <is>
          <t>D163</t>
        </is>
      </c>
      <c r="B95" s="1" t="n">
        <v>18.4477</v>
      </c>
      <c r="C95" s="1" t="n">
        <v>61.4235</v>
      </c>
      <c r="D95" s="1" t="n">
        <v>270</v>
      </c>
      <c r="E95" s="1" t="n">
        <v>1110901</v>
      </c>
      <c r="F95" s="1" t="inlineStr">
        <is>
          <t>Diode,Rectifier,General Purpose,600V,1A,SOD-323</t>
        </is>
      </c>
    </row>
    <row r="96">
      <c r="A96" s="1" t="inlineStr">
        <is>
          <t>D164</t>
        </is>
      </c>
      <c r="B96" s="1" t="n">
        <v>22.0477</v>
      </c>
      <c r="C96" s="1" t="n">
        <v>61.4285</v>
      </c>
      <c r="D96" s="1" t="n">
        <v>270</v>
      </c>
      <c r="E96" s="1" t="n">
        <v>1110901</v>
      </c>
      <c r="F96" s="1" t="inlineStr">
        <is>
          <t>Diode,Rectifier,General Purpose,600V,1A,SOD-323</t>
        </is>
      </c>
    </row>
    <row r="97">
      <c r="A97" s="1" t="inlineStr">
        <is>
          <t>D166</t>
        </is>
      </c>
      <c r="B97" s="1" t="n">
        <v>117.6477</v>
      </c>
      <c r="C97" s="1" t="n">
        <v>65.8785</v>
      </c>
      <c r="D97" s="1" t="n">
        <v>270</v>
      </c>
      <c r="E97" s="1" t="n">
        <v>1110901</v>
      </c>
      <c r="F97" s="1" t="inlineStr">
        <is>
          <t>Diode,Rectifier,General Purpose,600V,1A,SOD-323</t>
        </is>
      </c>
    </row>
    <row r="98">
      <c r="A98" s="1" t="inlineStr">
        <is>
          <t>D167</t>
        </is>
      </c>
      <c r="B98" s="1" t="n">
        <v>110.6477</v>
      </c>
      <c r="C98" s="1" t="n">
        <v>65.87350000000001</v>
      </c>
      <c r="D98" s="1" t="n">
        <v>270</v>
      </c>
      <c r="E98" s="1" t="n">
        <v>1110901</v>
      </c>
      <c r="F98" s="1" t="inlineStr">
        <is>
          <t>Diode,Rectifier,General Purpose,600V,1A,SOD-323</t>
        </is>
      </c>
    </row>
    <row r="99">
      <c r="A99" s="1" t="inlineStr">
        <is>
          <t>D168</t>
        </is>
      </c>
      <c r="B99" s="1" t="n">
        <v>108.9977</v>
      </c>
      <c r="C99" s="1" t="n">
        <v>65.8785</v>
      </c>
      <c r="D99" s="1" t="n">
        <v>270</v>
      </c>
      <c r="E99" s="1" t="n">
        <v>1110901</v>
      </c>
      <c r="F99" s="1" t="inlineStr">
        <is>
          <t>Diode,Rectifier,General Purpose,600V,1A,SOD-323</t>
        </is>
      </c>
    </row>
    <row r="100">
      <c r="A100" s="1" t="inlineStr">
        <is>
          <t>D169</t>
        </is>
      </c>
      <c r="B100" s="1" t="n">
        <v>15.0977</v>
      </c>
      <c r="C100" s="1" t="n">
        <v>15.851</v>
      </c>
      <c r="D100" s="1" t="n">
        <v>360</v>
      </c>
      <c r="E100" s="1" t="n">
        <v>1110914</v>
      </c>
      <c r="F100" s="1" t="inlineStr">
        <is>
          <t>Diode,Switching,70V,215mA,Dual,SOT-323</t>
        </is>
      </c>
    </row>
    <row r="101">
      <c r="A101" s="1" t="inlineStr">
        <is>
          <t>D170</t>
        </is>
      </c>
      <c r="B101" s="1" t="n">
        <v>14.6702</v>
      </c>
      <c r="C101" s="1" t="n">
        <v>24.651</v>
      </c>
      <c r="D101" s="1" t="n">
        <v>360</v>
      </c>
      <c r="E101" s="1" t="n">
        <v>1110901</v>
      </c>
      <c r="F101" s="1" t="inlineStr">
        <is>
          <t>Diode,Rectifier,General Purpose,600V,1A,SOD-323</t>
        </is>
      </c>
    </row>
    <row r="102">
      <c r="A102" s="1" t="inlineStr">
        <is>
          <t>D171</t>
        </is>
      </c>
      <c r="B102" s="1" t="n">
        <v>29.3977</v>
      </c>
      <c r="C102" s="1" t="n">
        <v>15.901</v>
      </c>
      <c r="D102" s="1" t="n">
        <v>360</v>
      </c>
      <c r="E102" s="1" t="n">
        <v>1110914</v>
      </c>
      <c r="F102" s="1" t="inlineStr">
        <is>
          <t>Diode,Switching,70V,215mA,Dual,SOT-323</t>
        </is>
      </c>
    </row>
    <row r="103">
      <c r="A103" s="1" t="inlineStr">
        <is>
          <t>D173</t>
        </is>
      </c>
      <c r="B103" s="1" t="n">
        <v>54.4477</v>
      </c>
      <c r="C103" s="1" t="n">
        <v>42.801</v>
      </c>
      <c r="D103" s="1" t="n">
        <v>90</v>
      </c>
      <c r="E103" s="1" t="n">
        <v>1110914</v>
      </c>
      <c r="F103" s="1" t="inlineStr">
        <is>
          <t>Diode,Switching,70V,215mA,Dual,SOT-323</t>
        </is>
      </c>
    </row>
    <row r="104">
      <c r="A104" s="1" t="inlineStr">
        <is>
          <t>D175</t>
        </is>
      </c>
      <c r="B104" s="1" t="n">
        <v>19.8477</v>
      </c>
      <c r="C104" s="1" t="n">
        <v>15.851</v>
      </c>
      <c r="D104" s="1" t="n">
        <v>360</v>
      </c>
      <c r="E104" s="1" t="n">
        <v>1110914</v>
      </c>
      <c r="F104" s="1" t="inlineStr">
        <is>
          <t>Diode,Switching,70V,215mA,Dual,SOT-323</t>
        </is>
      </c>
    </row>
    <row r="105">
      <c r="A105" s="1" t="inlineStr">
        <is>
          <t>D176</t>
        </is>
      </c>
      <c r="B105" s="1" t="n">
        <v>19.4702</v>
      </c>
      <c r="C105" s="1" t="n">
        <v>24.701</v>
      </c>
      <c r="D105" s="1" t="n">
        <v>360</v>
      </c>
      <c r="E105" s="1" t="n">
        <v>1110901</v>
      </c>
      <c r="F105" s="1" t="inlineStr">
        <is>
          <t>Diode,Rectifier,General Purpose,600V,1A,SOD-323</t>
        </is>
      </c>
    </row>
    <row r="106">
      <c r="A106" s="1" t="inlineStr">
        <is>
          <t>D177</t>
        </is>
      </c>
      <c r="B106" s="1" t="n">
        <v>24.64</v>
      </c>
      <c r="C106" s="1" t="n">
        <v>15.851</v>
      </c>
      <c r="D106" s="1" t="n">
        <v>360</v>
      </c>
      <c r="E106" s="1" t="n">
        <v>1110914</v>
      </c>
      <c r="F106" s="1" t="inlineStr">
        <is>
          <t>Diode,Switching,70V,215mA,Dual,SOT-323</t>
        </is>
      </c>
    </row>
    <row r="107">
      <c r="A107" s="1" t="inlineStr">
        <is>
          <t>D178</t>
        </is>
      </c>
      <c r="B107" s="1" t="n">
        <v>24.2625</v>
      </c>
      <c r="C107" s="1" t="n">
        <v>24.701</v>
      </c>
      <c r="D107" s="1" t="n">
        <v>360</v>
      </c>
      <c r="E107" s="1" t="n">
        <v>1110901</v>
      </c>
      <c r="F107" s="1" t="inlineStr">
        <is>
          <t>Diode,Rectifier,General Purpose,600V,1A,SOD-323</t>
        </is>
      </c>
    </row>
    <row r="108">
      <c r="A108" s="1" t="inlineStr">
        <is>
          <t>D179</t>
        </is>
      </c>
      <c r="B108" s="1" t="n">
        <v>59.6477</v>
      </c>
      <c r="C108" s="1" t="n">
        <v>84.851</v>
      </c>
      <c r="D108" s="1" t="n">
        <v>270</v>
      </c>
      <c r="E108" s="1" t="n">
        <v>1110914</v>
      </c>
      <c r="F108" s="1" t="inlineStr">
        <is>
          <t>Diode,Switching,70V,215mA,Dual,SOT-323</t>
        </is>
      </c>
    </row>
    <row r="109">
      <c r="A109" s="1" t="inlineStr">
        <is>
          <t>D180</t>
        </is>
      </c>
      <c r="B109" s="1" t="n">
        <v>14.5227</v>
      </c>
      <c r="C109" s="1" t="n">
        <v>68.601</v>
      </c>
      <c r="D109" s="1" t="n">
        <v>270</v>
      </c>
      <c r="E109" s="1" t="n">
        <v>1110914</v>
      </c>
      <c r="F109" s="1" t="inlineStr">
        <is>
          <t>Diode,Switching,70V,215mA,Dual,SOT-323</t>
        </is>
      </c>
    </row>
    <row r="110">
      <c r="A110" s="1" t="inlineStr">
        <is>
          <t>D181</t>
        </is>
      </c>
      <c r="B110" s="1" t="n">
        <v>25.5477</v>
      </c>
      <c r="C110" s="1" t="n">
        <v>68.601</v>
      </c>
      <c r="D110" s="1" t="n">
        <v>270</v>
      </c>
      <c r="E110" s="1" t="n">
        <v>1110914</v>
      </c>
      <c r="F110" s="1" t="inlineStr">
        <is>
          <t>Diode,Switching,70V,215mA,Dual,SOT-323</t>
        </is>
      </c>
    </row>
    <row r="111">
      <c r="A111" s="1" t="inlineStr">
        <is>
          <t>D182</t>
        </is>
      </c>
      <c r="B111" s="1" t="n">
        <v>28.7477</v>
      </c>
      <c r="C111" s="1" t="n">
        <v>68.601</v>
      </c>
      <c r="D111" s="1" t="n">
        <v>270</v>
      </c>
      <c r="E111" s="1" t="n">
        <v>1110914</v>
      </c>
      <c r="F111" s="1" t="inlineStr">
        <is>
          <t>Diode,Switching,70V,215mA,Dual,SOT-323</t>
        </is>
      </c>
    </row>
    <row r="112">
      <c r="A112" s="1" t="inlineStr">
        <is>
          <t>D201</t>
        </is>
      </c>
      <c r="B112" s="1" t="n">
        <v>92.1477</v>
      </c>
      <c r="C112" s="1" t="n">
        <v>92.6435</v>
      </c>
      <c r="D112" s="1" t="n">
        <v>90</v>
      </c>
      <c r="E112" s="1" t="n">
        <v>1110901</v>
      </c>
      <c r="F112" s="1" t="inlineStr">
        <is>
          <t>Diode,Rectifier,General Purpose,600V,1A,SOD-323</t>
        </is>
      </c>
    </row>
    <row r="113">
      <c r="A113" s="1" t="inlineStr">
        <is>
          <t>D203</t>
        </is>
      </c>
      <c r="B113" s="1" t="n">
        <v>93.74769999999999</v>
      </c>
      <c r="C113" s="1" t="n">
        <v>92.6435</v>
      </c>
      <c r="D113" s="1" t="n">
        <v>90</v>
      </c>
      <c r="E113" s="1" t="n">
        <v>1110901</v>
      </c>
      <c r="F113" s="1" t="inlineStr">
        <is>
          <t>Diode,Rectifier,General Purpose,600V,1A,SOD-323</t>
        </is>
      </c>
    </row>
    <row r="114">
      <c r="A114" s="1" t="inlineStr">
        <is>
          <t>D204</t>
        </is>
      </c>
      <c r="B114" s="1" t="n">
        <v>95.3582</v>
      </c>
      <c r="C114" s="1" t="n">
        <v>92.6605</v>
      </c>
      <c r="D114" s="1" t="n">
        <v>90</v>
      </c>
      <c r="E114" s="1" t="n">
        <v>1110901</v>
      </c>
      <c r="F114" s="1" t="inlineStr">
        <is>
          <t>Diode,Rectifier,General Purpose,600V,1A,SOD-323</t>
        </is>
      </c>
    </row>
    <row r="115">
      <c r="A115" s="1" t="inlineStr">
        <is>
          <t>D207</t>
        </is>
      </c>
      <c r="B115" s="1" t="n">
        <v>88.8227</v>
      </c>
      <c r="C115" s="1" t="n">
        <v>92.6435</v>
      </c>
      <c r="D115" s="1" t="n">
        <v>90</v>
      </c>
      <c r="E115" s="1" t="n">
        <v>1110901</v>
      </c>
      <c r="F115" s="1" t="inlineStr">
        <is>
          <t>Diode,Rectifier,General Purpose,600V,1A,SOD-323</t>
        </is>
      </c>
    </row>
    <row r="116">
      <c r="A116" s="1" t="inlineStr">
        <is>
          <t>D208</t>
        </is>
      </c>
      <c r="B116" s="1" t="n">
        <v>112.9977</v>
      </c>
      <c r="C116" s="1" t="n">
        <v>81.051</v>
      </c>
      <c r="D116" s="1" t="n">
        <v>360</v>
      </c>
      <c r="E116" s="1" t="n">
        <v>1101922</v>
      </c>
      <c r="F116" s="1" t="inlineStr">
        <is>
          <t>Diode,Zener,3.3V,5%,0.5W,SOD-123</t>
        </is>
      </c>
    </row>
    <row r="117">
      <c r="A117" s="1" t="inlineStr">
        <is>
          <t>D209</t>
        </is>
      </c>
      <c r="B117" s="1" t="n">
        <v>90.42270000000001</v>
      </c>
      <c r="C117" s="1" t="n">
        <v>92.6435</v>
      </c>
      <c r="D117" s="1" t="n">
        <v>90</v>
      </c>
      <c r="E117" s="1" t="n">
        <v>1110901</v>
      </c>
      <c r="F117" s="1" t="inlineStr">
        <is>
          <t>Diode,Rectifier,General Purpose,600V,1A,SOD-323</t>
        </is>
      </c>
    </row>
    <row r="118">
      <c r="A118" s="1" t="inlineStr">
        <is>
          <t>D210</t>
        </is>
      </c>
      <c r="B118" s="1" t="n">
        <v>96.99769999999999</v>
      </c>
      <c r="C118" s="1" t="n">
        <v>92.6605</v>
      </c>
      <c r="D118" s="1" t="n">
        <v>90</v>
      </c>
      <c r="E118" s="1" t="n">
        <v>1110901</v>
      </c>
      <c r="F118" s="1" t="inlineStr">
        <is>
          <t>Diode,Rectifier,General Purpose,600V,1A,SOD-323</t>
        </is>
      </c>
    </row>
    <row r="119">
      <c r="A119" s="1" t="inlineStr">
        <is>
          <t>D211</t>
        </is>
      </c>
      <c r="B119" s="1" t="n">
        <v>103.6477</v>
      </c>
      <c r="C119" s="1" t="n">
        <v>88.45099999999999</v>
      </c>
      <c r="D119" s="1" t="n">
        <v>270</v>
      </c>
      <c r="E119" s="1" t="n">
        <v>1110914</v>
      </c>
      <c r="F119" s="1" t="inlineStr">
        <is>
          <t>Diode,Switching,70V,215mA,Dual,SOT-323</t>
        </is>
      </c>
    </row>
    <row r="120">
      <c r="A120" s="1" t="inlineStr">
        <is>
          <t>FB100</t>
        </is>
      </c>
      <c r="B120" s="1" t="n">
        <v>79.3977</v>
      </c>
      <c r="C120" s="1" t="n">
        <v>36.951</v>
      </c>
      <c r="D120" s="1" t="n">
        <v>360</v>
      </c>
      <c r="E120" s="1" t="n">
        <v>1111832</v>
      </c>
      <c r="F120" s="1" t="inlineStr">
        <is>
          <t>Inductor,Ferrite Bead,1 Line,1.8KO@100MHz,0.2A,1.4O,0402(1005)</t>
        </is>
      </c>
    </row>
    <row r="121">
      <c r="A121" s="1" t="inlineStr">
        <is>
          <t>Q101</t>
        </is>
      </c>
      <c r="B121" s="1" t="n">
        <v>91.4439</v>
      </c>
      <c r="C121" s="1" t="n">
        <v>71.6125</v>
      </c>
      <c r="D121" s="1" t="n">
        <v>270</v>
      </c>
      <c r="E121" s="1" t="n">
        <v>1110655</v>
      </c>
      <c r="F121" s="1" t="inlineStr">
        <is>
          <t>TRANS,General Purpose,BJT,PNP,-45V,-0.5A,SOT-323</t>
        </is>
      </c>
    </row>
    <row r="122">
      <c r="A122" s="1" t="inlineStr">
        <is>
          <t>Q102</t>
        </is>
      </c>
      <c r="B122" s="1" t="n">
        <v>74.1146</v>
      </c>
      <c r="C122" s="1" t="n">
        <v>34.751</v>
      </c>
      <c r="D122" s="1" t="n">
        <v>270</v>
      </c>
      <c r="E122" s="1" t="n">
        <v>1110604</v>
      </c>
      <c r="F122" s="1" t="inlineStr">
        <is>
          <t>TRANS,General Purpose,BJT,PNP,-45V,-0.5A,SOT-23-3</t>
        </is>
      </c>
    </row>
    <row r="123">
      <c r="A123" s="1" t="inlineStr">
        <is>
          <t>Q103</t>
        </is>
      </c>
      <c r="B123" s="1" t="n">
        <v>85.64490000000001</v>
      </c>
      <c r="C123" s="1" t="n">
        <v>71.66249999999999</v>
      </c>
      <c r="D123" s="1" t="n">
        <v>270</v>
      </c>
      <c r="E123" s="1" t="n">
        <v>1110654</v>
      </c>
      <c r="F123" s="1" t="inlineStr">
        <is>
          <t>TRANS,General Purpose,BJT,NPN,45V,0.5A,SOT-323</t>
        </is>
      </c>
    </row>
    <row r="124">
      <c r="A124" s="1" t="inlineStr">
        <is>
          <t>Q104</t>
        </is>
      </c>
      <c r="B124" s="1" t="n">
        <v>74.1146</v>
      </c>
      <c r="C124" s="1" t="n">
        <v>38.8284</v>
      </c>
      <c r="D124" s="1" t="n">
        <v>270</v>
      </c>
      <c r="E124" s="1" t="n">
        <v>1110654</v>
      </c>
      <c r="F124" s="1" t="inlineStr">
        <is>
          <t>TRANS,General Purpose,BJT,NPN,45V,0.5A,SOT-323</t>
        </is>
      </c>
    </row>
    <row r="125">
      <c r="A125" s="1" t="inlineStr">
        <is>
          <t>Q105</t>
        </is>
      </c>
      <c r="B125" s="1" t="n">
        <v>45.5477</v>
      </c>
      <c r="C125" s="1" t="n">
        <v>66.20569999999999</v>
      </c>
      <c r="D125" s="1" t="n">
        <v>270</v>
      </c>
      <c r="E125" s="1" t="n">
        <v>1110655</v>
      </c>
      <c r="F125" s="1" t="inlineStr">
        <is>
          <t>TRANS,General Purpose,BJT,PNP,-45V,-0.5A,SOT-323</t>
        </is>
      </c>
    </row>
    <row r="126">
      <c r="A126" s="1" t="inlineStr">
        <is>
          <t>Q106</t>
        </is>
      </c>
      <c r="B126" s="1" t="n">
        <v>120.1977</v>
      </c>
      <c r="C126" s="1" t="n">
        <v>86.301</v>
      </c>
      <c r="D126" s="1" t="n">
        <v>180</v>
      </c>
      <c r="E126" s="1" t="n">
        <v>1110655</v>
      </c>
      <c r="F126" s="1" t="inlineStr">
        <is>
          <t>TRANS,General Purpose,BJT,PNP,-45V,-0.5A,SOT-323</t>
        </is>
      </c>
    </row>
    <row r="127">
      <c r="A127" s="1" t="inlineStr">
        <is>
          <t>Q107</t>
        </is>
      </c>
      <c r="B127" s="1" t="n">
        <v>120.1977</v>
      </c>
      <c r="C127" s="1" t="n">
        <v>91.95099999999999</v>
      </c>
      <c r="D127" s="1" t="n">
        <v>180</v>
      </c>
      <c r="E127" s="1" t="n">
        <v>1110654</v>
      </c>
      <c r="F127" s="1" t="inlineStr">
        <is>
          <t>TRANS,General Purpose,BJT,NPN,45V,0.5A,SOT-323</t>
        </is>
      </c>
    </row>
    <row r="128">
      <c r="A128" s="1" t="inlineStr">
        <is>
          <t>Q108</t>
        </is>
      </c>
      <c r="B128" s="1" t="n">
        <v>112.2477</v>
      </c>
      <c r="C128" s="1" t="n">
        <v>99.601</v>
      </c>
      <c r="D128" s="1" t="n">
        <v>270</v>
      </c>
      <c r="E128" s="1" t="n">
        <v>1110655</v>
      </c>
      <c r="F128" s="1" t="inlineStr">
        <is>
          <t>TRANS,General Purpose,BJT,PNP,-45V,-0.5A,SOT-323</t>
        </is>
      </c>
    </row>
    <row r="129">
      <c r="A129" s="1" t="inlineStr">
        <is>
          <t>Q109</t>
        </is>
      </c>
      <c r="B129" s="1" t="n">
        <v>107.7477</v>
      </c>
      <c r="C129" s="1" t="n">
        <v>99.601</v>
      </c>
      <c r="D129" s="1" t="n">
        <v>270</v>
      </c>
      <c r="E129" s="1" t="n">
        <v>1110654</v>
      </c>
      <c r="F129" s="1" t="inlineStr">
        <is>
          <t>TRANS,General Purpose,BJT,NPN,45V,0.5A,SOT-323</t>
        </is>
      </c>
    </row>
    <row r="130">
      <c r="A130" s="1" t="inlineStr">
        <is>
          <t>Q113</t>
        </is>
      </c>
      <c r="B130" s="1" t="n">
        <v>85.07769999999999</v>
      </c>
      <c r="C130" s="1" t="n">
        <v>84.95099999999999</v>
      </c>
      <c r="D130" s="1" t="n">
        <v>180</v>
      </c>
      <c r="E130" s="1" t="n">
        <v>1110655</v>
      </c>
      <c r="F130" s="1" t="inlineStr">
        <is>
          <t>TRANS,General Purpose,BJT,PNP,-45V,-0.5A,SOT-323</t>
        </is>
      </c>
    </row>
    <row r="131">
      <c r="A131" s="1" t="inlineStr">
        <is>
          <t>Q114</t>
        </is>
      </c>
      <c r="B131" s="1" t="n">
        <v>112.3977</v>
      </c>
      <c r="C131" s="1" t="n">
        <v>86.351</v>
      </c>
      <c r="D131" s="1" t="n">
        <v>180</v>
      </c>
      <c r="E131" s="1" t="n">
        <v>1110655</v>
      </c>
      <c r="F131" s="1" t="inlineStr">
        <is>
          <t>TRANS,General Purpose,BJT,PNP,-45V,-0.5A,SOT-323</t>
        </is>
      </c>
    </row>
    <row r="132">
      <c r="A132" s="1" t="inlineStr">
        <is>
          <t>Q115</t>
        </is>
      </c>
      <c r="B132" s="1" t="n">
        <v>85.1307</v>
      </c>
      <c r="C132" s="1" t="n">
        <v>81.876</v>
      </c>
      <c r="D132" s="1" t="n">
        <v>180</v>
      </c>
      <c r="E132" s="1" t="n">
        <v>1110654</v>
      </c>
      <c r="F132" s="1" t="inlineStr">
        <is>
          <t>TRANS,General Purpose,BJT,NPN,45V,0.5A,SOT-323</t>
        </is>
      </c>
    </row>
    <row r="133">
      <c r="A133" s="1" t="inlineStr">
        <is>
          <t>Q116</t>
        </is>
      </c>
      <c r="B133" s="1" t="n">
        <v>99.54770000000001</v>
      </c>
      <c r="C133" s="1" t="n">
        <v>93.20099999999999</v>
      </c>
      <c r="D133" s="1" t="n">
        <v>90</v>
      </c>
      <c r="E133" s="1" t="n">
        <v>1110655</v>
      </c>
      <c r="F133" s="1" t="inlineStr">
        <is>
          <t>TRANS,General Purpose,BJT,PNP,-45V,-0.5A,SOT-323</t>
        </is>
      </c>
    </row>
    <row r="134">
      <c r="A134" s="1" t="inlineStr">
        <is>
          <t>Q117</t>
        </is>
      </c>
      <c r="B134" s="1" t="n">
        <v>103.6477</v>
      </c>
      <c r="C134" s="1" t="n">
        <v>93.20099999999999</v>
      </c>
      <c r="D134" s="1" t="n">
        <v>90</v>
      </c>
      <c r="E134" s="1" t="n">
        <v>1110654</v>
      </c>
      <c r="F134" s="1" t="inlineStr">
        <is>
          <t>TRANS,General Purpose,BJT,NPN,45V,0.5A,SOT-323</t>
        </is>
      </c>
    </row>
    <row r="135">
      <c r="A135" s="1" t="inlineStr">
        <is>
          <t>R102</t>
        </is>
      </c>
      <c r="B135" s="1" t="n">
        <v>56.4231</v>
      </c>
      <c r="C135" s="1" t="n">
        <v>100.351</v>
      </c>
      <c r="D135" s="1" t="n">
        <v>180</v>
      </c>
      <c r="E135" s="1" t="n">
        <v>1110576</v>
      </c>
      <c r="F135" s="1" t="inlineStr">
        <is>
          <t>Resistor,22K,5%,1/16W,0402(1005)</t>
        </is>
      </c>
    </row>
    <row r="136">
      <c r="A136" s="1" t="inlineStr">
        <is>
          <t>R103</t>
        </is>
      </c>
      <c r="B136" s="1" t="n">
        <v>98.92270000000001</v>
      </c>
      <c r="C136" s="1" t="n">
        <v>64.601</v>
      </c>
      <c r="D136" s="1" t="n">
        <v>360</v>
      </c>
      <c r="E136" s="1" t="n">
        <v>1101036</v>
      </c>
      <c r="F136" s="1" t="inlineStr">
        <is>
          <t>Resistor,100,5%,1/10W,0603(1608)</t>
        </is>
      </c>
    </row>
    <row r="137">
      <c r="A137" s="1" t="inlineStr">
        <is>
          <t>R104</t>
        </is>
      </c>
      <c r="B137" s="1" t="n">
        <v>93.62269999999999</v>
      </c>
      <c r="C137" s="1" t="n">
        <v>64.601</v>
      </c>
      <c r="D137" s="1" t="n">
        <v>360</v>
      </c>
      <c r="E137" s="1" t="n">
        <v>1101036</v>
      </c>
      <c r="F137" s="1" t="inlineStr">
        <is>
          <t>Resistor,100,5%,1/10W,0603(1608)</t>
        </is>
      </c>
    </row>
    <row r="138">
      <c r="A138" s="1" t="inlineStr">
        <is>
          <t>R107</t>
        </is>
      </c>
      <c r="B138" s="1" t="n">
        <v>31.4227</v>
      </c>
      <c r="C138" s="1" t="n">
        <v>61.601</v>
      </c>
      <c r="D138" s="1" t="n">
        <v>360</v>
      </c>
      <c r="E138" s="1" t="n">
        <v>1101036</v>
      </c>
      <c r="F138" s="1" t="inlineStr">
        <is>
          <t>Resistor,100,5%,1/10W,0603(1608)</t>
        </is>
      </c>
    </row>
    <row r="139">
      <c r="A139" s="1" t="inlineStr">
        <is>
          <t>R115</t>
        </is>
      </c>
      <c r="B139" s="1" t="n">
        <v>108.9477</v>
      </c>
      <c r="C139" s="1" t="n">
        <v>31.326</v>
      </c>
      <c r="D139" s="1" t="n">
        <v>270</v>
      </c>
      <c r="E139" s="1" t="n">
        <v>1101036</v>
      </c>
      <c r="F139" s="1" t="inlineStr">
        <is>
          <t>Resistor,100,5%,1/10W,0603(1608)</t>
        </is>
      </c>
    </row>
    <row r="140">
      <c r="A140" s="1" t="inlineStr">
        <is>
          <t>R116</t>
        </is>
      </c>
      <c r="B140" s="1" t="n">
        <v>108.9477</v>
      </c>
      <c r="C140" s="1" t="n">
        <v>28.676</v>
      </c>
      <c r="D140" s="1" t="n">
        <v>270</v>
      </c>
      <c r="E140" s="1" t="n">
        <v>1101036</v>
      </c>
      <c r="F140" s="1" t="inlineStr">
        <is>
          <t>Resistor,100,5%,1/10W,0603(1608)</t>
        </is>
      </c>
    </row>
    <row r="141">
      <c r="A141" s="1" t="inlineStr">
        <is>
          <t>R117</t>
        </is>
      </c>
      <c r="B141" s="1" t="n">
        <v>114.9977</v>
      </c>
      <c r="C141" s="1" t="n">
        <v>31.376</v>
      </c>
      <c r="D141" s="1" t="n">
        <v>270</v>
      </c>
      <c r="E141" s="1" t="n">
        <v>1101036</v>
      </c>
      <c r="F141" s="1" t="inlineStr">
        <is>
          <t>Resistor,100,5%,1/10W,0603(1608)</t>
        </is>
      </c>
    </row>
    <row r="142">
      <c r="A142" s="1" t="inlineStr">
        <is>
          <t>R118</t>
        </is>
      </c>
      <c r="B142" s="1" t="n">
        <v>114.9977</v>
      </c>
      <c r="C142" s="1" t="n">
        <v>28.726</v>
      </c>
      <c r="D142" s="1" t="n">
        <v>270</v>
      </c>
      <c r="E142" s="1" t="n">
        <v>1101036</v>
      </c>
      <c r="F142" s="1" t="inlineStr">
        <is>
          <t>Resistor,100,5%,1/10W,0603(1608)</t>
        </is>
      </c>
    </row>
    <row r="143">
      <c r="A143" s="1" t="inlineStr">
        <is>
          <t>R119</t>
        </is>
      </c>
      <c r="B143" s="1" t="n">
        <v>114.9977</v>
      </c>
      <c r="C143" s="1" t="n">
        <v>26.026</v>
      </c>
      <c r="D143" s="1" t="n">
        <v>270</v>
      </c>
      <c r="E143" s="1" t="n">
        <v>1101036</v>
      </c>
      <c r="F143" s="1" t="inlineStr">
        <is>
          <t>Resistor,100,5%,1/10W,0603(1608)</t>
        </is>
      </c>
    </row>
    <row r="144">
      <c r="A144" s="1" t="inlineStr">
        <is>
          <t>R120</t>
        </is>
      </c>
      <c r="B144" s="1" t="n">
        <v>106.8727</v>
      </c>
      <c r="C144" s="1" t="n">
        <v>64.601</v>
      </c>
      <c r="D144" s="1" t="n">
        <v>180</v>
      </c>
      <c r="E144" s="1" t="n">
        <v>1101036</v>
      </c>
      <c r="F144" s="1" t="inlineStr">
        <is>
          <t>Resistor,100,5%,1/10W,0603(1608)</t>
        </is>
      </c>
    </row>
    <row r="145">
      <c r="A145" s="1" t="inlineStr">
        <is>
          <t>R121</t>
        </is>
      </c>
      <c r="B145" s="1" t="n">
        <v>104.2227</v>
      </c>
      <c r="C145" s="1" t="n">
        <v>64.601</v>
      </c>
      <c r="D145" s="1" t="n">
        <v>180</v>
      </c>
      <c r="E145" s="1" t="n">
        <v>1101036</v>
      </c>
      <c r="F145" s="1" t="inlineStr">
        <is>
          <t>Resistor,100,5%,1/10W,0603(1608)</t>
        </is>
      </c>
    </row>
    <row r="146">
      <c r="A146" s="1" t="inlineStr">
        <is>
          <t>R122</t>
        </is>
      </c>
      <c r="B146" s="1" t="n">
        <v>101.5727</v>
      </c>
      <c r="C146" s="1" t="n">
        <v>64.601</v>
      </c>
      <c r="D146" s="1" t="n">
        <v>360</v>
      </c>
      <c r="E146" s="1" t="n">
        <v>1101036</v>
      </c>
      <c r="F146" s="1" t="inlineStr">
        <is>
          <t>Resistor,100,5%,1/10W,0603(1608)</t>
        </is>
      </c>
    </row>
    <row r="147">
      <c r="A147" s="1" t="inlineStr">
        <is>
          <t>R123</t>
        </is>
      </c>
      <c r="B147" s="1" t="n">
        <v>96.2727</v>
      </c>
      <c r="C147" s="1" t="n">
        <v>64.601</v>
      </c>
      <c r="D147" s="1" t="n">
        <v>360</v>
      </c>
      <c r="E147" s="1" t="n">
        <v>1101036</v>
      </c>
      <c r="F147" s="1" t="inlineStr">
        <is>
          <t>Resistor,100,5%,1/10W,0603(1608)</t>
        </is>
      </c>
    </row>
    <row r="148">
      <c r="A148" s="1" t="inlineStr">
        <is>
          <t>R124</t>
        </is>
      </c>
      <c r="B148" s="1" t="n">
        <v>90.9727</v>
      </c>
      <c r="C148" s="1" t="n">
        <v>64.601</v>
      </c>
      <c r="D148" s="1" t="n">
        <v>360</v>
      </c>
      <c r="E148" s="1" t="n">
        <v>1101036</v>
      </c>
      <c r="F148" s="1" t="inlineStr">
        <is>
          <t>Resistor,100,5%,1/10W,0603(1608)</t>
        </is>
      </c>
    </row>
    <row r="149">
      <c r="A149" s="1" t="inlineStr">
        <is>
          <t>R125</t>
        </is>
      </c>
      <c r="B149" s="1" t="n">
        <v>88.3227</v>
      </c>
      <c r="C149" s="1" t="n">
        <v>64.601</v>
      </c>
      <c r="D149" s="1" t="n">
        <v>360</v>
      </c>
      <c r="E149" s="1" t="n">
        <v>1101036</v>
      </c>
      <c r="F149" s="1" t="inlineStr">
        <is>
          <t>Resistor,100,5%,1/10W,0603(1608)</t>
        </is>
      </c>
    </row>
    <row r="150">
      <c r="A150" s="1" t="inlineStr">
        <is>
          <t>R126</t>
        </is>
      </c>
      <c r="B150" s="1" t="n">
        <v>85.67270000000001</v>
      </c>
      <c r="C150" s="1" t="n">
        <v>64.601</v>
      </c>
      <c r="D150" s="1" t="n">
        <v>360</v>
      </c>
      <c r="E150" s="1" t="n">
        <v>1101036</v>
      </c>
      <c r="F150" s="1" t="inlineStr">
        <is>
          <t>Resistor,100,5%,1/10W,0603(1608)</t>
        </is>
      </c>
    </row>
    <row r="151">
      <c r="A151" s="1" t="inlineStr">
        <is>
          <t>R127</t>
        </is>
      </c>
      <c r="B151" s="1" t="n">
        <v>87.6477</v>
      </c>
      <c r="C151" s="1" t="n">
        <v>34.926</v>
      </c>
      <c r="D151" s="1" t="n">
        <v>270</v>
      </c>
      <c r="E151" s="1" t="n">
        <v>1101036</v>
      </c>
      <c r="F151" s="1" t="inlineStr">
        <is>
          <t>Resistor,100,5%,1/10W,0603(1608)</t>
        </is>
      </c>
    </row>
    <row r="152">
      <c r="A152" s="1" t="inlineStr">
        <is>
          <t>R128</t>
        </is>
      </c>
      <c r="B152" s="1" t="n">
        <v>89.1977</v>
      </c>
      <c r="C152" s="1" t="n">
        <v>34.926</v>
      </c>
      <c r="D152" s="1" t="n">
        <v>270</v>
      </c>
      <c r="E152" s="1" t="n">
        <v>1101036</v>
      </c>
      <c r="F152" s="1" t="inlineStr">
        <is>
          <t>Resistor,100,5%,1/10W,0603(1608)</t>
        </is>
      </c>
    </row>
    <row r="153">
      <c r="A153" s="1" t="inlineStr">
        <is>
          <t>R170</t>
        </is>
      </c>
      <c r="B153" s="1" t="n">
        <v>51.175</v>
      </c>
      <c r="C153" s="1" t="n">
        <v>100.3067</v>
      </c>
      <c r="D153" s="1" t="n">
        <v>180</v>
      </c>
      <c r="E153" s="1" t="n">
        <v>1110199</v>
      </c>
      <c r="F153" s="1" t="inlineStr">
        <is>
          <t>Resistor,100,5%,1/16W,0402(1005)</t>
        </is>
      </c>
    </row>
    <row r="154">
      <c r="A154" s="1" t="inlineStr">
        <is>
          <t>R173</t>
        </is>
      </c>
      <c r="B154" s="1" t="n">
        <v>51.175</v>
      </c>
      <c r="C154" s="1" t="n">
        <v>103.801</v>
      </c>
      <c r="D154" s="1" t="n">
        <v>360</v>
      </c>
      <c r="E154" s="1" t="n">
        <v>1110581</v>
      </c>
      <c r="F154" s="1" t="inlineStr">
        <is>
          <t>Resistor,4.7K,5%,1/16W,0402(1005)</t>
        </is>
      </c>
    </row>
    <row r="155">
      <c r="A155" s="1" t="inlineStr">
        <is>
          <t>R174</t>
        </is>
      </c>
      <c r="B155" s="1" t="n">
        <v>51.175</v>
      </c>
      <c r="C155" s="1" t="n">
        <v>102.501</v>
      </c>
      <c r="D155" s="1" t="n">
        <v>180</v>
      </c>
      <c r="E155" s="1" t="n">
        <v>1110707</v>
      </c>
      <c r="F155" s="1" t="inlineStr">
        <is>
          <t>Resistor,1K,5%,1/16W,0402(1005)</t>
        </is>
      </c>
    </row>
    <row r="156">
      <c r="A156" s="1" t="inlineStr">
        <is>
          <t>R175</t>
        </is>
      </c>
      <c r="B156" s="1" t="n">
        <v>51.175</v>
      </c>
      <c r="C156" s="1" t="n">
        <v>95.20099999999999</v>
      </c>
      <c r="D156" s="1" t="n">
        <v>180</v>
      </c>
      <c r="E156" s="1" t="n">
        <v>1110582</v>
      </c>
      <c r="F156" s="1" t="inlineStr">
        <is>
          <t>Resistor,470,5%,1/16W,0402(1005)</t>
        </is>
      </c>
    </row>
    <row r="157">
      <c r="A157" s="1" t="inlineStr">
        <is>
          <t>R176</t>
        </is>
      </c>
      <c r="B157" s="1" t="n">
        <v>51.175</v>
      </c>
      <c r="C157" s="1" t="n">
        <v>93.901</v>
      </c>
      <c r="D157" s="1" t="n">
        <v>180</v>
      </c>
      <c r="E157" s="1" t="n">
        <v>1110582</v>
      </c>
      <c r="F157" s="1" t="inlineStr">
        <is>
          <t>Resistor,470,5%,1/16W,0402(1005)</t>
        </is>
      </c>
    </row>
    <row r="158">
      <c r="A158" s="1" t="inlineStr">
        <is>
          <t>R177</t>
        </is>
      </c>
      <c r="B158" s="1" t="n">
        <v>51.175</v>
      </c>
      <c r="C158" s="1" t="n">
        <v>92.601</v>
      </c>
      <c r="D158" s="1" t="n">
        <v>180</v>
      </c>
      <c r="E158" s="1" t="n">
        <v>1110582</v>
      </c>
      <c r="F158" s="1" t="inlineStr">
        <is>
          <t>Resistor,470,5%,1/16W,0402(1005)</t>
        </is>
      </c>
    </row>
    <row r="159">
      <c r="A159" s="1" t="inlineStr">
        <is>
          <t>R178</t>
        </is>
      </c>
      <c r="B159" s="1" t="n">
        <v>51.175</v>
      </c>
      <c r="C159" s="1" t="n">
        <v>91.301</v>
      </c>
      <c r="D159" s="1" t="n">
        <v>180</v>
      </c>
      <c r="E159" s="1" t="n">
        <v>1110582</v>
      </c>
      <c r="F159" s="1" t="inlineStr">
        <is>
          <t>Resistor,470,5%,1/16W,0402(1005)</t>
        </is>
      </c>
    </row>
    <row r="160">
      <c r="A160" s="1" t="inlineStr">
        <is>
          <t>R187</t>
        </is>
      </c>
      <c r="B160" s="1" t="n">
        <v>35.7477</v>
      </c>
      <c r="C160" s="1" t="n">
        <v>100.311</v>
      </c>
      <c r="D160" s="1" t="n">
        <v>180</v>
      </c>
      <c r="E160" s="1" t="n">
        <v>1110199</v>
      </c>
      <c r="F160" s="1" t="inlineStr">
        <is>
          <t>Resistor,100,5%,1/16W,0402(1005)</t>
        </is>
      </c>
    </row>
    <row r="161">
      <c r="A161" s="1" t="inlineStr">
        <is>
          <t>R188</t>
        </is>
      </c>
      <c r="B161" s="1" t="n">
        <v>35.7477</v>
      </c>
      <c r="C161" s="1" t="n">
        <v>101.601</v>
      </c>
      <c r="D161" s="1" t="n">
        <v>180</v>
      </c>
      <c r="E161" s="1" t="n">
        <v>1110581</v>
      </c>
      <c r="F161" s="1" t="inlineStr">
        <is>
          <t>Resistor,4.7K,5%,1/16W,0402(1005)</t>
        </is>
      </c>
    </row>
    <row r="162">
      <c r="A162" s="1" t="inlineStr">
        <is>
          <t>R189</t>
        </is>
      </c>
      <c r="B162" s="1" t="n">
        <v>35.7477</v>
      </c>
      <c r="C162" s="1" t="n">
        <v>102.901</v>
      </c>
      <c r="D162" s="1" t="n">
        <v>180</v>
      </c>
      <c r="E162" s="1" t="n">
        <v>1110581</v>
      </c>
      <c r="F162" s="1" t="inlineStr">
        <is>
          <t>Resistor,4.7K,5%,1/16W,0402(1005)</t>
        </is>
      </c>
    </row>
    <row r="163">
      <c r="A163" s="1" t="inlineStr">
        <is>
          <t>R190</t>
        </is>
      </c>
      <c r="B163" s="1" t="n">
        <v>35.7477</v>
      </c>
      <c r="C163" s="1" t="n">
        <v>104.201</v>
      </c>
      <c r="D163" s="1" t="n">
        <v>180</v>
      </c>
      <c r="E163" s="1" t="n">
        <v>1110581</v>
      </c>
      <c r="F163" s="1" t="inlineStr">
        <is>
          <t>Resistor,4.7K,5%,1/16W,0402(1005)</t>
        </is>
      </c>
    </row>
    <row r="164">
      <c r="A164" s="1" t="inlineStr">
        <is>
          <t>R191</t>
        </is>
      </c>
      <c r="B164" s="1" t="n">
        <v>35.7477</v>
      </c>
      <c r="C164" s="1" t="n">
        <v>95.151</v>
      </c>
      <c r="D164" s="1" t="n">
        <v>180</v>
      </c>
      <c r="E164" s="1" t="n">
        <v>1110582</v>
      </c>
      <c r="F164" s="1" t="inlineStr">
        <is>
          <t>Resistor,470,5%,1/16W,0402(1005)</t>
        </is>
      </c>
    </row>
    <row r="165">
      <c r="A165" s="1" t="inlineStr">
        <is>
          <t>R192</t>
        </is>
      </c>
      <c r="B165" s="1" t="n">
        <v>35.7477</v>
      </c>
      <c r="C165" s="1" t="n">
        <v>93.851</v>
      </c>
      <c r="D165" s="1" t="n">
        <v>180</v>
      </c>
      <c r="E165" s="1" t="n">
        <v>1110582</v>
      </c>
      <c r="F165" s="1" t="inlineStr">
        <is>
          <t>Resistor,470,5%,1/16W,0402(1005)</t>
        </is>
      </c>
    </row>
    <row r="166">
      <c r="A166" s="1" t="inlineStr">
        <is>
          <t>R193</t>
        </is>
      </c>
      <c r="B166" s="1" t="n">
        <v>35.7477</v>
      </c>
      <c r="C166" s="1" t="n">
        <v>92.551</v>
      </c>
      <c r="D166" s="1" t="n">
        <v>180</v>
      </c>
      <c r="E166" s="1" t="n">
        <v>1110582</v>
      </c>
      <c r="F166" s="1" t="inlineStr">
        <is>
          <t>Resistor,470,5%,1/16W,0402(1005)</t>
        </is>
      </c>
    </row>
    <row r="167">
      <c r="A167" s="1" t="inlineStr">
        <is>
          <t>R194</t>
        </is>
      </c>
      <c r="B167" s="1" t="n">
        <v>35.7477</v>
      </c>
      <c r="C167" s="1" t="n">
        <v>91.251</v>
      </c>
      <c r="D167" s="1" t="n">
        <v>180</v>
      </c>
      <c r="E167" s="1" t="n">
        <v>1110582</v>
      </c>
      <c r="F167" s="1" t="inlineStr">
        <is>
          <t>Resistor,470,5%,1/16W,0402(1005)</t>
        </is>
      </c>
    </row>
    <row r="168">
      <c r="A168" s="1" t="inlineStr">
        <is>
          <t>R236</t>
        </is>
      </c>
      <c r="B168" s="1" t="n">
        <v>91.3439</v>
      </c>
      <c r="C168" s="1" t="n">
        <v>74.001</v>
      </c>
      <c r="D168" s="1" t="n">
        <v>180</v>
      </c>
      <c r="E168" s="1" t="n">
        <v>1110703</v>
      </c>
      <c r="F168" s="1" t="inlineStr">
        <is>
          <t>Resistor,10K,5%,1/16W,0402(1005)</t>
        </is>
      </c>
    </row>
    <row r="169">
      <c r="A169" s="1" t="inlineStr">
        <is>
          <t>R237</t>
        </is>
      </c>
      <c r="B169" s="1" t="n">
        <v>71.55800000000001</v>
      </c>
      <c r="C169" s="1" t="n">
        <v>38.6784</v>
      </c>
      <c r="D169" s="1" t="n">
        <v>360</v>
      </c>
      <c r="E169" s="1" t="n">
        <v>1110703</v>
      </c>
      <c r="F169" s="1" t="inlineStr">
        <is>
          <t>Resistor,10K,5%,1/16W,0402(1005)</t>
        </is>
      </c>
    </row>
    <row r="170">
      <c r="A170" s="1" t="inlineStr">
        <is>
          <t>R238</t>
        </is>
      </c>
      <c r="B170" s="1" t="n">
        <v>87.90770000000001</v>
      </c>
      <c r="C170" s="1" t="n">
        <v>73.32599999999999</v>
      </c>
      <c r="D170" s="1" t="n">
        <v>270</v>
      </c>
      <c r="E170" s="1" t="n">
        <v>1110303</v>
      </c>
      <c r="F170" s="1" t="inlineStr">
        <is>
          <t>Resistor,4.7K,5%,1/10W,0603(1608)</t>
        </is>
      </c>
    </row>
    <row r="171">
      <c r="A171" s="1" t="inlineStr">
        <is>
          <t>R239</t>
        </is>
      </c>
      <c r="B171" s="1" t="n">
        <v>71.1896</v>
      </c>
      <c r="C171" s="1" t="n">
        <v>36.6441</v>
      </c>
      <c r="D171" s="1" t="n">
        <v>270</v>
      </c>
      <c r="E171" s="1" t="n">
        <v>1110303</v>
      </c>
      <c r="F171" s="1" t="inlineStr">
        <is>
          <t>Resistor,4.7K,5%,1/10W,0603(1608)</t>
        </is>
      </c>
    </row>
    <row r="172">
      <c r="A172" s="1" t="inlineStr">
        <is>
          <t>R240</t>
        </is>
      </c>
      <c r="B172" s="1" t="n">
        <v>82.99769999999999</v>
      </c>
      <c r="C172" s="1" t="n">
        <v>74.051</v>
      </c>
      <c r="D172" s="1" t="n">
        <v>360</v>
      </c>
      <c r="E172" s="1" t="n">
        <v>1101064</v>
      </c>
      <c r="F172" s="1" t="inlineStr">
        <is>
          <t>Resistor,2.7K,5%,1/16W,0402(1005)</t>
        </is>
      </c>
    </row>
    <row r="173">
      <c r="A173" s="1" t="inlineStr">
        <is>
          <t>R241</t>
        </is>
      </c>
      <c r="B173" s="1" t="n">
        <v>71.55800000000001</v>
      </c>
      <c r="C173" s="1" t="n">
        <v>41.4907</v>
      </c>
      <c r="D173" s="1" t="n">
        <v>360</v>
      </c>
      <c r="E173" s="1" t="n">
        <v>1101064</v>
      </c>
      <c r="F173" s="1" t="inlineStr">
        <is>
          <t>Resistor,2.7K,5%,1/16W,0402(1005)</t>
        </is>
      </c>
    </row>
    <row r="174">
      <c r="A174" s="1" t="inlineStr">
        <is>
          <t>R242</t>
        </is>
      </c>
      <c r="B174" s="1" t="n">
        <v>85.5449</v>
      </c>
      <c r="C174" s="1" t="n">
        <v>74.051</v>
      </c>
      <c r="D174" s="1" t="n">
        <v>360</v>
      </c>
      <c r="E174" s="1" t="n">
        <v>1101064</v>
      </c>
      <c r="F174" s="1" t="inlineStr">
        <is>
          <t>Resistor,2.7K,5%,1/16W,0402(1005)</t>
        </is>
      </c>
    </row>
    <row r="175">
      <c r="A175" s="1" t="inlineStr">
        <is>
          <t>R243</t>
        </is>
      </c>
      <c r="B175" s="1" t="n">
        <v>71.55800000000001</v>
      </c>
      <c r="C175" s="1" t="n">
        <v>40.0845</v>
      </c>
      <c r="D175" s="1" t="n">
        <v>180</v>
      </c>
      <c r="E175" s="1" t="n">
        <v>1101064</v>
      </c>
      <c r="F175" s="1" t="inlineStr">
        <is>
          <t>Resistor,2.7K,5%,1/16W,0402(1005)</t>
        </is>
      </c>
    </row>
    <row r="176">
      <c r="A176" s="1" t="inlineStr">
        <is>
          <t>R244</t>
        </is>
      </c>
      <c r="B176" s="1" t="n">
        <v>47.6977</v>
      </c>
      <c r="C176" s="1" t="n">
        <v>68.101</v>
      </c>
      <c r="D176" s="1" t="n">
        <v>90</v>
      </c>
      <c r="E176" s="1" t="n">
        <v>1110581</v>
      </c>
      <c r="F176" s="1" t="inlineStr">
        <is>
          <t>Resistor,4.7K,5%,1/16W,0402(1005)</t>
        </is>
      </c>
    </row>
    <row r="177">
      <c r="A177" s="1" t="inlineStr">
        <is>
          <t>R245</t>
        </is>
      </c>
      <c r="B177" s="1" t="n">
        <v>43.3477</v>
      </c>
      <c r="C177" s="1" t="n">
        <v>68.101</v>
      </c>
      <c r="D177" s="1" t="n">
        <v>90</v>
      </c>
      <c r="E177" s="1" t="n">
        <v>1101064</v>
      </c>
      <c r="F177" s="1" t="inlineStr">
        <is>
          <t>Resistor,2.7K,5%,1/16W,0402(1005)</t>
        </is>
      </c>
    </row>
    <row r="178">
      <c r="A178" s="1" t="inlineStr">
        <is>
          <t>R246</t>
        </is>
      </c>
      <c r="B178" s="1" t="n">
        <v>119.5643</v>
      </c>
      <c r="C178" s="1" t="n">
        <v>83.551</v>
      </c>
      <c r="D178" s="1" t="n">
        <v>180</v>
      </c>
      <c r="E178" s="1" t="n">
        <v>1110284</v>
      </c>
      <c r="F178" s="1" t="inlineStr">
        <is>
          <t>Resistor,1.2K,5%,1/4W,1206(3216)</t>
        </is>
      </c>
    </row>
    <row r="179">
      <c r="A179" s="1" t="inlineStr">
        <is>
          <t>R247</t>
        </is>
      </c>
      <c r="B179" s="1" t="n">
        <v>119.5643</v>
      </c>
      <c r="C179" s="1" t="n">
        <v>81.001</v>
      </c>
      <c r="D179" s="1" t="n">
        <v>180</v>
      </c>
      <c r="E179" s="1" t="n">
        <v>1110284</v>
      </c>
      <c r="F179" s="1" t="inlineStr">
        <is>
          <t>Resistor,1.2K,5%,1/4W,1206(3216)</t>
        </is>
      </c>
    </row>
    <row r="180">
      <c r="A180" s="1" t="inlineStr">
        <is>
          <t>R248</t>
        </is>
      </c>
      <c r="B180" s="1" t="n">
        <v>119.5643</v>
      </c>
      <c r="C180" s="1" t="n">
        <v>78.45099999999999</v>
      </c>
      <c r="D180" s="1" t="n">
        <v>180</v>
      </c>
      <c r="E180" s="1" t="n">
        <v>1110284</v>
      </c>
      <c r="F180" s="1" t="inlineStr">
        <is>
          <t>Resistor,1.2K,5%,1/4W,1206(3216)</t>
        </is>
      </c>
    </row>
    <row r="181">
      <c r="A181" s="1" t="inlineStr">
        <is>
          <t>R249</t>
        </is>
      </c>
      <c r="B181" s="1" t="n">
        <v>117.8477</v>
      </c>
      <c r="C181" s="1" t="n">
        <v>86.001</v>
      </c>
      <c r="D181" s="1" t="n">
        <v>90</v>
      </c>
      <c r="E181" s="1" t="n">
        <v>1110576</v>
      </c>
      <c r="F181" s="1" t="inlineStr">
        <is>
          <t>Resistor,22K,5%,1/16W,0402(1005)</t>
        </is>
      </c>
    </row>
    <row r="182">
      <c r="A182" s="1" t="inlineStr">
        <is>
          <t>R250</t>
        </is>
      </c>
      <c r="B182" s="1" t="n">
        <v>119.6477</v>
      </c>
      <c r="C182" s="1" t="n">
        <v>89.151</v>
      </c>
      <c r="D182" s="1" t="n">
        <v>270</v>
      </c>
      <c r="E182" s="1" t="n">
        <v>1110703</v>
      </c>
      <c r="F182" s="1" t="inlineStr">
        <is>
          <t>Resistor,10K,5%,1/16W,0402(1005)</t>
        </is>
      </c>
    </row>
    <row r="183">
      <c r="A183" s="1" t="inlineStr">
        <is>
          <t>R251</t>
        </is>
      </c>
      <c r="B183" s="1" t="n">
        <v>121.1477</v>
      </c>
      <c r="C183" s="1" t="n">
        <v>89.126</v>
      </c>
      <c r="D183" s="1" t="n">
        <v>90</v>
      </c>
      <c r="E183" s="1" t="n">
        <v>1110303</v>
      </c>
      <c r="F183" s="1" t="inlineStr">
        <is>
          <t>Resistor,4.7K,5%,1/10W,0603(1608)</t>
        </is>
      </c>
    </row>
    <row r="184">
      <c r="A184" s="1" t="inlineStr">
        <is>
          <t>R252</t>
        </is>
      </c>
      <c r="B184" s="1" t="n">
        <v>118.4977</v>
      </c>
      <c r="C184" s="1" t="n">
        <v>94.101</v>
      </c>
      <c r="D184" s="1" t="n">
        <v>360</v>
      </c>
      <c r="E184" s="1" t="n">
        <v>1101064</v>
      </c>
      <c r="F184" s="1" t="inlineStr">
        <is>
          <t>Resistor,2.7K,5%,1/16W,0402(1005)</t>
        </is>
      </c>
    </row>
    <row r="185">
      <c r="A185" s="1" t="inlineStr">
        <is>
          <t>R253</t>
        </is>
      </c>
      <c r="B185" s="1" t="n">
        <v>120.7977</v>
      </c>
      <c r="C185" s="1" t="n">
        <v>94.101</v>
      </c>
      <c r="D185" s="1" t="n">
        <v>360</v>
      </c>
      <c r="E185" s="1" t="n">
        <v>1101064</v>
      </c>
      <c r="F185" s="1" t="inlineStr">
        <is>
          <t>Resistor,2.7K,5%,1/16W,0402(1005)</t>
        </is>
      </c>
    </row>
    <row r="186">
      <c r="A186" s="1" t="inlineStr">
        <is>
          <t>R259</t>
        </is>
      </c>
      <c r="B186" s="1" t="n">
        <v>68.1477</v>
      </c>
      <c r="C186" s="1" t="n">
        <v>62.076</v>
      </c>
      <c r="D186" s="1" t="n">
        <v>90</v>
      </c>
      <c r="E186" s="1" t="n">
        <v>1110708</v>
      </c>
      <c r="F186" s="1" t="inlineStr">
        <is>
          <t>Resistor,1K,5%,1/10W,0603(1608)</t>
        </is>
      </c>
    </row>
    <row r="187">
      <c r="A187" s="1" t="inlineStr">
        <is>
          <t>R260</t>
        </is>
      </c>
      <c r="B187" s="1" t="n">
        <v>73.8477</v>
      </c>
      <c r="C187" s="1" t="n">
        <v>66.851</v>
      </c>
      <c r="D187" s="1" t="n">
        <v>270</v>
      </c>
      <c r="E187" s="1" t="n">
        <v>1110703</v>
      </c>
      <c r="F187" s="1" t="inlineStr">
        <is>
          <t>Resistor,10K,5%,1/16W,0402(1005)</t>
        </is>
      </c>
    </row>
    <row r="188">
      <c r="A188" s="1" t="inlineStr">
        <is>
          <t>R261</t>
        </is>
      </c>
      <c r="B188" s="1" t="n">
        <v>72.57769999999999</v>
      </c>
      <c r="C188" s="1" t="n">
        <v>66.851</v>
      </c>
      <c r="D188" s="1" t="n">
        <v>270</v>
      </c>
      <c r="E188" s="1" t="n">
        <v>1110703</v>
      </c>
      <c r="F188" s="1" t="inlineStr">
        <is>
          <t>Resistor,10K,5%,1/16W,0402(1005)</t>
        </is>
      </c>
    </row>
    <row r="189">
      <c r="A189" s="1" t="inlineStr">
        <is>
          <t>R262</t>
        </is>
      </c>
      <c r="B189" s="1" t="n">
        <v>75.8312</v>
      </c>
      <c r="C189" s="1" t="n">
        <v>53.801</v>
      </c>
      <c r="D189" s="1" t="n">
        <v>360</v>
      </c>
      <c r="E189" s="1" t="n">
        <v>1110226</v>
      </c>
      <c r="F189" s="1" t="inlineStr">
        <is>
          <t>Resistor,560,5%,1/4W,1206(3216)</t>
        </is>
      </c>
    </row>
    <row r="190">
      <c r="A190" s="1" t="inlineStr">
        <is>
          <t>R264</t>
        </is>
      </c>
      <c r="B190" s="1" t="n">
        <v>76.3877</v>
      </c>
      <c r="C190" s="1" t="n">
        <v>66.851</v>
      </c>
      <c r="D190" s="1" t="n">
        <v>270</v>
      </c>
      <c r="E190" s="1" t="n">
        <v>1110276</v>
      </c>
      <c r="F190" s="1" t="inlineStr">
        <is>
          <t>Resistor,0R,5%,1/16W,0402(1005)</t>
        </is>
      </c>
    </row>
    <row r="191">
      <c r="A191" s="1" t="inlineStr">
        <is>
          <t>R265</t>
        </is>
      </c>
      <c r="B191" s="1" t="n">
        <v>70.51430000000001</v>
      </c>
      <c r="C191" s="1" t="n">
        <v>53.801</v>
      </c>
      <c r="D191" s="1" t="n">
        <v>180</v>
      </c>
      <c r="E191" s="1" t="n">
        <v>1110226</v>
      </c>
      <c r="F191" s="1" t="inlineStr">
        <is>
          <t>Resistor,560,5%,1/4W,1206(3216)</t>
        </is>
      </c>
    </row>
    <row r="192">
      <c r="A192" s="1" t="inlineStr">
        <is>
          <t>R275</t>
        </is>
      </c>
      <c r="B192" s="1" t="n">
        <v>55.0727</v>
      </c>
      <c r="C192" s="1" t="n">
        <v>55.301</v>
      </c>
      <c r="D192" s="1" t="n">
        <v>180</v>
      </c>
      <c r="E192" s="1" t="n">
        <v>1110708</v>
      </c>
      <c r="F192" s="1" t="inlineStr">
        <is>
          <t>Resistor,1K,5%,1/10W,0603(1608)</t>
        </is>
      </c>
    </row>
    <row r="193">
      <c r="A193" s="1" t="inlineStr">
        <is>
          <t>R282</t>
        </is>
      </c>
      <c r="B193" s="1" t="n">
        <v>92.1477</v>
      </c>
      <c r="C193" s="1" t="n">
        <v>97.351</v>
      </c>
      <c r="D193" s="1" t="n">
        <v>90</v>
      </c>
      <c r="E193" s="1" t="n">
        <v>1110707</v>
      </c>
      <c r="F193" s="1" t="inlineStr">
        <is>
          <t>Resistor,1K,5%,1/16W,0402(1005)</t>
        </is>
      </c>
    </row>
    <row r="194">
      <c r="A194" s="1" t="inlineStr">
        <is>
          <t>R285</t>
        </is>
      </c>
      <c r="B194" s="1" t="n">
        <v>7.2477</v>
      </c>
      <c r="C194" s="1" t="n">
        <v>115.951</v>
      </c>
      <c r="D194" s="1" t="n">
        <v>180</v>
      </c>
      <c r="E194" s="1" t="n">
        <v>1110747</v>
      </c>
      <c r="F194" s="1" t="inlineStr">
        <is>
          <t>Resistor,330,5%,1W,2512(6332)</t>
        </is>
      </c>
    </row>
    <row r="195">
      <c r="A195" s="1" t="inlineStr">
        <is>
          <t>R286</t>
        </is>
      </c>
      <c r="B195" s="1" t="n">
        <v>7.2477</v>
      </c>
      <c r="C195" s="1" t="n">
        <v>111.6509</v>
      </c>
      <c r="D195" s="1" t="n">
        <v>180</v>
      </c>
      <c r="E195" s="1" t="n">
        <v>1110747</v>
      </c>
      <c r="F195" s="1" t="inlineStr">
        <is>
          <t>Resistor,330,5%,1W,2512(6332)</t>
        </is>
      </c>
    </row>
    <row r="196">
      <c r="A196" s="1" t="inlineStr">
        <is>
          <t>R287</t>
        </is>
      </c>
      <c r="B196" s="1" t="n">
        <v>7.2477</v>
      </c>
      <c r="C196" s="1" t="n">
        <v>107.3509</v>
      </c>
      <c r="D196" s="1" t="n">
        <v>180</v>
      </c>
      <c r="E196" s="1" t="n">
        <v>1110747</v>
      </c>
      <c r="F196" s="1" t="inlineStr">
        <is>
          <t>Resistor,330,5%,1W,2512(6332)</t>
        </is>
      </c>
    </row>
    <row r="197">
      <c r="A197" s="1" t="inlineStr">
        <is>
          <t>R288</t>
        </is>
      </c>
      <c r="B197" s="1" t="n">
        <v>7.2477</v>
      </c>
      <c r="C197" s="1" t="n">
        <v>103.0509</v>
      </c>
      <c r="D197" s="1" t="n">
        <v>180</v>
      </c>
      <c r="E197" s="1" t="n">
        <v>1110747</v>
      </c>
      <c r="F197" s="1" t="inlineStr">
        <is>
          <t>Resistor,330,5%,1W,2512(6332)</t>
        </is>
      </c>
    </row>
    <row r="198">
      <c r="A198" s="1" t="inlineStr">
        <is>
          <t>R289</t>
        </is>
      </c>
      <c r="B198" s="1" t="n">
        <v>7.2477</v>
      </c>
      <c r="C198" s="1" t="n">
        <v>98.7509</v>
      </c>
      <c r="D198" s="1" t="n">
        <v>180</v>
      </c>
      <c r="E198" s="1" t="n">
        <v>1110747</v>
      </c>
      <c r="F198" s="1" t="inlineStr">
        <is>
          <t>Resistor,330,5%,1W,2512(6332)</t>
        </is>
      </c>
    </row>
    <row r="199">
      <c r="A199" s="1" t="inlineStr">
        <is>
          <t>R290</t>
        </is>
      </c>
      <c r="B199" s="1" t="n">
        <v>65.69970000000001</v>
      </c>
      <c r="C199" s="1" t="n">
        <v>89.651</v>
      </c>
      <c r="D199" s="1" t="n">
        <v>90</v>
      </c>
      <c r="E199" s="1" t="n">
        <v>1110575</v>
      </c>
      <c r="F199" s="1" t="inlineStr">
        <is>
          <t>Resistor,22K,1%,1/16W,0402(1005)</t>
        </is>
      </c>
    </row>
    <row r="200">
      <c r="A200" s="1" t="inlineStr">
        <is>
          <t>R291</t>
        </is>
      </c>
      <c r="B200" s="1" t="n">
        <v>64.3997</v>
      </c>
      <c r="C200" s="1" t="n">
        <v>89.651</v>
      </c>
      <c r="D200" s="1" t="n">
        <v>270</v>
      </c>
      <c r="E200" s="1" t="n">
        <v>1110580</v>
      </c>
      <c r="F200" s="1" t="inlineStr">
        <is>
          <t>Resistor,4.7K,1%,1/16W,0402(1005)</t>
        </is>
      </c>
    </row>
    <row r="201">
      <c r="A201" s="1" t="inlineStr">
        <is>
          <t>R296</t>
        </is>
      </c>
      <c r="B201" s="1" t="n">
        <v>114.8825</v>
      </c>
      <c r="C201" s="1" t="n">
        <v>100.901</v>
      </c>
      <c r="D201" s="1" t="n">
        <v>360</v>
      </c>
      <c r="E201" s="1" t="n">
        <v>1110581</v>
      </c>
      <c r="F201" s="1" t="inlineStr">
        <is>
          <t>Resistor,4.7K,5%,1/16W,0402(1005)</t>
        </is>
      </c>
    </row>
    <row r="202">
      <c r="A202" s="1" t="inlineStr">
        <is>
          <t>R297</t>
        </is>
      </c>
      <c r="B202" s="1" t="n">
        <v>114.8825</v>
      </c>
      <c r="C202" s="1" t="n">
        <v>99.5795</v>
      </c>
      <c r="D202" s="1" t="n">
        <v>360</v>
      </c>
      <c r="E202" s="1" t="n">
        <v>1110584</v>
      </c>
      <c r="F202" s="1" t="inlineStr">
        <is>
          <t>Resistor,47K,5%,1/16W,0402(1005)</t>
        </is>
      </c>
    </row>
    <row r="203">
      <c r="A203" s="1" t="inlineStr">
        <is>
          <t>R299</t>
        </is>
      </c>
      <c r="B203" s="1" t="n">
        <v>112.5477</v>
      </c>
      <c r="C203" s="1" t="n">
        <v>102.251</v>
      </c>
      <c r="D203" s="1" t="n">
        <v>180</v>
      </c>
      <c r="E203" s="1" t="n">
        <v>1110703</v>
      </c>
      <c r="F203" s="1" t="inlineStr">
        <is>
          <t>Resistor,10K,5%,1/16W,0402(1005)</t>
        </is>
      </c>
    </row>
    <row r="204">
      <c r="A204" s="1" t="inlineStr">
        <is>
          <t>R300</t>
        </is>
      </c>
      <c r="B204" s="1" t="n">
        <v>109.9977</v>
      </c>
      <c r="C204" s="1" t="n">
        <v>100.226</v>
      </c>
      <c r="D204" s="1" t="n">
        <v>270</v>
      </c>
      <c r="E204" s="1" t="n">
        <v>1110303</v>
      </c>
      <c r="F204" s="1" t="inlineStr">
        <is>
          <t>Resistor,4.7K,5%,1/10W,0603(1608)</t>
        </is>
      </c>
    </row>
    <row r="205">
      <c r="A205" s="1" t="inlineStr">
        <is>
          <t>R301</t>
        </is>
      </c>
      <c r="B205" s="1" t="n">
        <v>65.69970000000001</v>
      </c>
      <c r="C205" s="1" t="n">
        <v>92.301</v>
      </c>
      <c r="D205" s="1" t="n">
        <v>270</v>
      </c>
      <c r="E205" s="1" t="n">
        <v>1110700</v>
      </c>
      <c r="F205" s="1" t="inlineStr">
        <is>
          <t>Resistor,100K,5%,1/16W,0402(1005)</t>
        </is>
      </c>
    </row>
    <row r="206">
      <c r="A206" s="1" t="inlineStr">
        <is>
          <t>R303</t>
        </is>
      </c>
      <c r="B206" s="1" t="n">
        <v>105.6977</v>
      </c>
      <c r="C206" s="1" t="n">
        <v>100.051</v>
      </c>
      <c r="D206" s="1" t="n">
        <v>90</v>
      </c>
      <c r="E206" s="1" t="n">
        <v>1101064</v>
      </c>
      <c r="F206" s="1" t="inlineStr">
        <is>
          <t>Resistor,2.7K,5%,1/16W,0402(1005)</t>
        </is>
      </c>
    </row>
    <row r="207">
      <c r="A207" s="1" t="inlineStr">
        <is>
          <t>R304</t>
        </is>
      </c>
      <c r="B207" s="1" t="n">
        <v>107.6477</v>
      </c>
      <c r="C207" s="1" t="n">
        <v>102.251</v>
      </c>
      <c r="D207" s="1" t="n">
        <v>360</v>
      </c>
      <c r="E207" s="1" t="n">
        <v>1101064</v>
      </c>
      <c r="F207" s="1" t="inlineStr">
        <is>
          <t>Resistor,2.7K,5%,1/16W,0402(1005)</t>
        </is>
      </c>
    </row>
    <row r="208">
      <c r="A208" s="1" t="inlineStr">
        <is>
          <t>R305</t>
        </is>
      </c>
      <c r="B208" s="1" t="n">
        <v>19.1477</v>
      </c>
      <c r="C208" s="1" t="n">
        <v>102.3845</v>
      </c>
      <c r="D208" s="1" t="n">
        <v>270</v>
      </c>
      <c r="E208" s="1" t="n">
        <v>1110375</v>
      </c>
      <c r="F208" s="1" t="inlineStr">
        <is>
          <t>Resistor,100,5%,1/4 W,1206(3216)</t>
        </is>
      </c>
    </row>
    <row r="209">
      <c r="A209" s="1" t="inlineStr">
        <is>
          <t>R306</t>
        </is>
      </c>
      <c r="B209" s="1" t="n">
        <v>16.7477</v>
      </c>
      <c r="C209" s="1" t="n">
        <v>102.3845</v>
      </c>
      <c r="D209" s="1" t="n">
        <v>270</v>
      </c>
      <c r="E209" s="1" t="n">
        <v>1110375</v>
      </c>
      <c r="F209" s="1" t="inlineStr">
        <is>
          <t>Resistor,100,5%,1/4 W,1206(3216)</t>
        </is>
      </c>
    </row>
    <row r="210">
      <c r="A210" s="1" t="inlineStr">
        <is>
          <t>R307</t>
        </is>
      </c>
      <c r="B210" s="1" t="n">
        <v>5.4977</v>
      </c>
      <c r="C210" s="1" t="n">
        <v>83.6345</v>
      </c>
      <c r="D210" s="1" t="n">
        <v>270</v>
      </c>
      <c r="E210" s="1" t="n">
        <v>1110226</v>
      </c>
      <c r="F210" s="1" t="inlineStr">
        <is>
          <t>Resistor,560,5%,1/4W,1206(3216)</t>
        </is>
      </c>
    </row>
    <row r="211">
      <c r="A211" s="1" t="inlineStr">
        <is>
          <t>R317</t>
        </is>
      </c>
      <c r="B211" s="1" t="n">
        <v>63.0997</v>
      </c>
      <c r="C211" s="1" t="n">
        <v>81.801</v>
      </c>
      <c r="D211" s="1" t="n">
        <v>90</v>
      </c>
      <c r="E211" s="1" t="n">
        <v>1110581</v>
      </c>
      <c r="F211" s="1" t="inlineStr">
        <is>
          <t>Resistor,4.7K,5%,1/16W,0402(1005)</t>
        </is>
      </c>
    </row>
    <row r="212">
      <c r="A212" s="1" t="inlineStr">
        <is>
          <t>R318</t>
        </is>
      </c>
      <c r="B212" s="1" t="n">
        <v>56.4977</v>
      </c>
      <c r="C212" s="1" t="n">
        <v>87.151</v>
      </c>
      <c r="D212" s="1" t="n">
        <v>180</v>
      </c>
      <c r="E212" s="1" t="n">
        <v>1110581</v>
      </c>
      <c r="F212" s="1" t="inlineStr">
        <is>
          <t>Resistor,4.7K,5%,1/16W,0402(1005)</t>
        </is>
      </c>
    </row>
    <row r="213">
      <c r="A213" s="1" t="inlineStr">
        <is>
          <t>R320</t>
        </is>
      </c>
      <c r="B213" s="1" t="n">
        <v>64.3997</v>
      </c>
      <c r="C213" s="1" t="n">
        <v>81.801</v>
      </c>
      <c r="D213" s="1" t="n">
        <v>90</v>
      </c>
      <c r="E213" s="1" t="n">
        <v>1110572</v>
      </c>
      <c r="F213" s="1" t="inlineStr">
        <is>
          <t>Resistor,1.2K,1%,1/16W,0402(1005)</t>
        </is>
      </c>
    </row>
    <row r="214">
      <c r="A214" s="1" t="inlineStr">
        <is>
          <t>R324</t>
        </is>
      </c>
      <c r="B214" s="1" t="n">
        <v>17.3477</v>
      </c>
      <c r="C214" s="1" t="n">
        <v>67.1345</v>
      </c>
      <c r="D214" s="1" t="n">
        <v>270</v>
      </c>
      <c r="E214" s="1" t="n">
        <v>1110364</v>
      </c>
      <c r="F214" s="1" t="inlineStr">
        <is>
          <t>Resistor,1.8K,5%,1/4W,1206(3216)</t>
        </is>
      </c>
    </row>
    <row r="215">
      <c r="A215" s="1" t="inlineStr">
        <is>
          <t>R325</t>
        </is>
      </c>
      <c r="B215" s="1" t="n">
        <v>19.3477</v>
      </c>
      <c r="C215" s="1" t="n">
        <v>66.301</v>
      </c>
      <c r="D215" s="1" t="n">
        <v>90</v>
      </c>
      <c r="E215" s="1" t="n">
        <v>1110576</v>
      </c>
      <c r="F215" s="1" t="inlineStr">
        <is>
          <t>Resistor,22K,5%,1/16W,0402(1005)</t>
        </is>
      </c>
    </row>
    <row r="216">
      <c r="A216" s="1" t="inlineStr">
        <is>
          <t>R326</t>
        </is>
      </c>
      <c r="B216" s="1" t="n">
        <v>18.7977</v>
      </c>
      <c r="C216" s="1" t="n">
        <v>70.101</v>
      </c>
      <c r="D216" s="1" t="n">
        <v>180</v>
      </c>
      <c r="E216" s="1" t="n">
        <v>1110576</v>
      </c>
      <c r="F216" s="1" t="inlineStr">
        <is>
          <t>Resistor,22K,5%,1/16W,0402(1005)</t>
        </is>
      </c>
    </row>
    <row r="217">
      <c r="A217" s="1" t="inlineStr">
        <is>
          <t>R327</t>
        </is>
      </c>
      <c r="B217" s="1" t="n">
        <v>21.3477</v>
      </c>
      <c r="C217" s="1" t="n">
        <v>67.1345</v>
      </c>
      <c r="D217" s="1" t="n">
        <v>270</v>
      </c>
      <c r="E217" s="1" t="n">
        <v>1110364</v>
      </c>
      <c r="F217" s="1" t="inlineStr">
        <is>
          <t>Resistor,1.8K,5%,1/4W,1206(3216)</t>
        </is>
      </c>
    </row>
    <row r="218">
      <c r="A218" s="1" t="inlineStr">
        <is>
          <t>R328</t>
        </is>
      </c>
      <c r="B218" s="1" t="n">
        <v>23.3477</v>
      </c>
      <c r="C218" s="1" t="n">
        <v>66.301</v>
      </c>
      <c r="D218" s="1" t="n">
        <v>90</v>
      </c>
      <c r="E218" s="1" t="n">
        <v>1110576</v>
      </c>
      <c r="F218" s="1" t="inlineStr">
        <is>
          <t>Resistor,22K,5%,1/16W,0402(1005)</t>
        </is>
      </c>
    </row>
    <row r="219">
      <c r="A219" s="1" t="inlineStr">
        <is>
          <t>R329</t>
        </is>
      </c>
      <c r="B219" s="1" t="n">
        <v>22.7977</v>
      </c>
      <c r="C219" s="1" t="n">
        <v>70.101</v>
      </c>
      <c r="D219" s="1" t="n">
        <v>180</v>
      </c>
      <c r="E219" s="1" t="n">
        <v>1110576</v>
      </c>
      <c r="F219" s="1" t="inlineStr">
        <is>
          <t>Resistor,22K,5%,1/16W,0402(1005)</t>
        </is>
      </c>
    </row>
    <row r="220">
      <c r="A220" s="1" t="inlineStr">
        <is>
          <t>R333</t>
        </is>
      </c>
      <c r="B220" s="1" t="n">
        <v>117.1977</v>
      </c>
      <c r="C220" s="1" t="n">
        <v>70.08450000000001</v>
      </c>
      <c r="D220" s="1" t="n">
        <v>270</v>
      </c>
      <c r="E220" s="1" t="n">
        <v>1110364</v>
      </c>
      <c r="F220" s="1" t="inlineStr">
        <is>
          <t>Resistor,1.8K,5%,1/4W,1206(3216)</t>
        </is>
      </c>
    </row>
    <row r="221">
      <c r="A221" s="1" t="inlineStr">
        <is>
          <t>R334</t>
        </is>
      </c>
      <c r="B221" s="1" t="n">
        <v>116.1477</v>
      </c>
      <c r="C221" s="1" t="n">
        <v>66.506</v>
      </c>
      <c r="D221" s="1" t="n">
        <v>270</v>
      </c>
      <c r="E221" s="1" t="n">
        <v>1110576</v>
      </c>
      <c r="F221" s="1" t="inlineStr">
        <is>
          <t>Resistor,22K,5%,1/16W,0402(1005)</t>
        </is>
      </c>
    </row>
    <row r="222">
      <c r="A222" s="1" t="inlineStr">
        <is>
          <t>R335</t>
        </is>
      </c>
      <c r="B222" s="1" t="n">
        <v>114.7977</v>
      </c>
      <c r="C222" s="1" t="n">
        <v>66.501</v>
      </c>
      <c r="D222" s="1" t="n">
        <v>270</v>
      </c>
      <c r="E222" s="1" t="n">
        <v>1110576</v>
      </c>
      <c r="F222" s="1" t="inlineStr">
        <is>
          <t>Resistor,22K,5%,1/16W,0402(1005)</t>
        </is>
      </c>
    </row>
    <row r="223">
      <c r="A223" s="1" t="inlineStr">
        <is>
          <t>R336</t>
        </is>
      </c>
      <c r="B223" s="1" t="n">
        <v>111.0977</v>
      </c>
      <c r="C223" s="1" t="n">
        <v>70.08450000000001</v>
      </c>
      <c r="D223" s="1" t="n">
        <v>270</v>
      </c>
      <c r="E223" s="1" t="n">
        <v>1110364</v>
      </c>
      <c r="F223" s="1" t="inlineStr">
        <is>
          <t>Resistor,1.8K,5%,1/4W,1206(3216)</t>
        </is>
      </c>
    </row>
    <row r="224">
      <c r="A224" s="1" t="inlineStr">
        <is>
          <t>R337</t>
        </is>
      </c>
      <c r="B224" s="1" t="n">
        <v>112.1477</v>
      </c>
      <c r="C224" s="1" t="n">
        <v>66.506</v>
      </c>
      <c r="D224" s="1" t="n">
        <v>270</v>
      </c>
      <c r="E224" s="1" t="n">
        <v>1110576</v>
      </c>
      <c r="F224" s="1" t="inlineStr">
        <is>
          <t>Resistor,22K,5%,1/16W,0402(1005)</t>
        </is>
      </c>
    </row>
    <row r="225">
      <c r="A225" s="1" t="inlineStr">
        <is>
          <t>R338</t>
        </is>
      </c>
      <c r="B225" s="1" t="n">
        <v>113.4477</v>
      </c>
      <c r="C225" s="1" t="n">
        <v>66.506</v>
      </c>
      <c r="D225" s="1" t="n">
        <v>270</v>
      </c>
      <c r="E225" s="1" t="n">
        <v>1110576</v>
      </c>
      <c r="F225" s="1" t="inlineStr">
        <is>
          <t>Resistor,22K,5%,1/16W,0402(1005)</t>
        </is>
      </c>
    </row>
    <row r="226">
      <c r="A226" s="1" t="inlineStr">
        <is>
          <t>R339</t>
        </is>
      </c>
      <c r="B226" s="1" t="n">
        <v>108.5477</v>
      </c>
      <c r="C226" s="1" t="n">
        <v>70.08450000000001</v>
      </c>
      <c r="D226" s="1" t="n">
        <v>270</v>
      </c>
      <c r="E226" s="1" t="n">
        <v>1110364</v>
      </c>
      <c r="F226" s="1" t="inlineStr">
        <is>
          <t>Resistor,1.8K,5%,1/4W,1206(3216)</t>
        </is>
      </c>
    </row>
    <row r="227">
      <c r="A227" s="1" t="inlineStr">
        <is>
          <t>R340</t>
        </is>
      </c>
      <c r="B227" s="1" t="n">
        <v>107.4977</v>
      </c>
      <c r="C227" s="1" t="n">
        <v>66.551</v>
      </c>
      <c r="D227" s="1" t="n">
        <v>270</v>
      </c>
      <c r="E227" s="1" t="n">
        <v>1110576</v>
      </c>
      <c r="F227" s="1" t="inlineStr">
        <is>
          <t>Resistor,22K,5%,1/16W,0402(1005)</t>
        </is>
      </c>
    </row>
    <row r="228">
      <c r="A228" s="1" t="inlineStr">
        <is>
          <t>R341</t>
        </is>
      </c>
      <c r="B228" s="1" t="n">
        <v>106.1977</v>
      </c>
      <c r="C228" s="1" t="n">
        <v>66.551</v>
      </c>
      <c r="D228" s="1" t="n">
        <v>90</v>
      </c>
      <c r="E228" s="1" t="n">
        <v>1110576</v>
      </c>
      <c r="F228" s="1" t="inlineStr">
        <is>
          <t>Resistor,22K,5%,1/16W,0402(1005)</t>
        </is>
      </c>
    </row>
    <row r="229">
      <c r="A229" s="1" t="inlineStr">
        <is>
          <t>R342</t>
        </is>
      </c>
      <c r="B229" s="1" t="n">
        <v>36.4477</v>
      </c>
      <c r="C229" s="1" t="n">
        <v>64.051</v>
      </c>
      <c r="D229" s="1" t="n">
        <v>360</v>
      </c>
      <c r="E229" s="1" t="n">
        <v>1110576</v>
      </c>
      <c r="F229" s="1" t="inlineStr">
        <is>
          <t>Resistor,22K,5%,1/16W,0402(1005)</t>
        </is>
      </c>
    </row>
    <row r="230">
      <c r="A230" s="1" t="inlineStr">
        <is>
          <t>R343</t>
        </is>
      </c>
      <c r="B230" s="1" t="n">
        <v>35.2312</v>
      </c>
      <c r="C230" s="1" t="n">
        <v>62.101</v>
      </c>
      <c r="D230" s="1" t="n">
        <v>360</v>
      </c>
      <c r="E230" s="1" t="n">
        <v>1110284</v>
      </c>
      <c r="F230" s="1" t="inlineStr">
        <is>
          <t>Resistor,1.2K,5%,1/4W,1206(3216)</t>
        </is>
      </c>
    </row>
    <row r="231">
      <c r="A231" s="1" t="inlineStr">
        <is>
          <t>R344</t>
        </is>
      </c>
      <c r="B231" s="1" t="n">
        <v>36.4477</v>
      </c>
      <c r="C231" s="1" t="n">
        <v>65.351</v>
      </c>
      <c r="D231" s="1" t="n">
        <v>180</v>
      </c>
      <c r="E231" s="1" t="n">
        <v>1110576</v>
      </c>
      <c r="F231" s="1" t="inlineStr">
        <is>
          <t>Resistor,22K,5%,1/16W,0402(1005)</t>
        </is>
      </c>
    </row>
    <row r="232">
      <c r="A232" s="1" t="inlineStr">
        <is>
          <t>R345</t>
        </is>
      </c>
      <c r="B232" s="1" t="n">
        <v>38.8477</v>
      </c>
      <c r="C232" s="1" t="n">
        <v>64.051</v>
      </c>
      <c r="D232" s="1" t="n">
        <v>180</v>
      </c>
      <c r="E232" s="1" t="n">
        <v>1110576</v>
      </c>
      <c r="F232" s="1" t="inlineStr">
        <is>
          <t>Resistor,22K,5%,1/16W,0402(1005)</t>
        </is>
      </c>
    </row>
    <row r="233">
      <c r="A233" s="1" t="inlineStr">
        <is>
          <t>R346</t>
        </is>
      </c>
      <c r="B233" s="1" t="n">
        <v>40.0643</v>
      </c>
      <c r="C233" s="1" t="n">
        <v>62.101</v>
      </c>
      <c r="D233" s="1" t="n">
        <v>180</v>
      </c>
      <c r="E233" s="1" t="n">
        <v>1110284</v>
      </c>
      <c r="F233" s="1" t="inlineStr">
        <is>
          <t>Resistor,1.2K,5%,1/4W,1206(3216)</t>
        </is>
      </c>
    </row>
    <row r="234">
      <c r="A234" s="1" t="inlineStr">
        <is>
          <t>R347</t>
        </is>
      </c>
      <c r="B234" s="1" t="n">
        <v>38.8477</v>
      </c>
      <c r="C234" s="1" t="n">
        <v>65.351</v>
      </c>
      <c r="D234" s="1" t="n">
        <v>360</v>
      </c>
      <c r="E234" s="1" t="n">
        <v>1110576</v>
      </c>
      <c r="F234" s="1" t="inlineStr">
        <is>
          <t>Resistor,22K,5%,1/16W,0402(1005)</t>
        </is>
      </c>
    </row>
    <row r="235">
      <c r="A235" s="1" t="inlineStr">
        <is>
          <t>R348</t>
        </is>
      </c>
      <c r="B235" s="1" t="n">
        <v>34.9977</v>
      </c>
      <c r="C235" s="1" t="n">
        <v>113.201</v>
      </c>
      <c r="D235" s="1" t="n">
        <v>180</v>
      </c>
      <c r="E235" s="1" t="n">
        <v>1110576</v>
      </c>
      <c r="F235" s="1" t="inlineStr">
        <is>
          <t>Resistor,22K,5%,1/16W,0402(1005)</t>
        </is>
      </c>
    </row>
    <row r="236">
      <c r="A236" s="1" t="inlineStr">
        <is>
          <t>R349</t>
        </is>
      </c>
      <c r="B236" s="1" t="n">
        <v>34.1643</v>
      </c>
      <c r="C236" s="1" t="n">
        <v>115.101</v>
      </c>
      <c r="D236" s="1" t="n">
        <v>180</v>
      </c>
      <c r="E236" s="1" t="n">
        <v>1110284</v>
      </c>
      <c r="F236" s="1" t="inlineStr">
        <is>
          <t>Resistor,1.2K,5%,1/4W,1206(3216)</t>
        </is>
      </c>
    </row>
    <row r="237">
      <c r="A237" s="1" t="inlineStr">
        <is>
          <t>R350</t>
        </is>
      </c>
      <c r="B237" s="1" t="n">
        <v>34.9977</v>
      </c>
      <c r="C237" s="1" t="n">
        <v>111.901</v>
      </c>
      <c r="D237" s="1" t="n">
        <v>360</v>
      </c>
      <c r="E237" s="1" t="n">
        <v>1110576</v>
      </c>
      <c r="F237" s="1" t="inlineStr">
        <is>
          <t>Resistor,22K,5%,1/16W,0402(1005)</t>
        </is>
      </c>
    </row>
    <row r="238">
      <c r="A238" s="1" t="inlineStr">
        <is>
          <t>R354</t>
        </is>
      </c>
      <c r="B238" s="1" t="n">
        <v>38.4977</v>
      </c>
      <c r="C238" s="1" t="n">
        <v>113.201</v>
      </c>
      <c r="D238" s="1" t="n">
        <v>360</v>
      </c>
      <c r="E238" s="1" t="n">
        <v>1110576</v>
      </c>
      <c r="F238" s="1" t="inlineStr">
        <is>
          <t>Resistor,22K,5%,1/16W,0402(1005)</t>
        </is>
      </c>
    </row>
    <row r="239">
      <c r="A239" s="1" t="inlineStr">
        <is>
          <t>R355</t>
        </is>
      </c>
      <c r="B239" s="1" t="n">
        <v>39.3312</v>
      </c>
      <c r="C239" s="1" t="n">
        <v>115.101</v>
      </c>
      <c r="D239" s="1" t="n">
        <v>360</v>
      </c>
      <c r="E239" s="1" t="n">
        <v>1110284</v>
      </c>
      <c r="F239" s="1" t="inlineStr">
        <is>
          <t>Resistor,1.2K,5%,1/4W,1206(3216)</t>
        </is>
      </c>
    </row>
    <row r="240">
      <c r="A240" s="1" t="inlineStr">
        <is>
          <t>R356</t>
        </is>
      </c>
      <c r="B240" s="1" t="n">
        <v>38.4977</v>
      </c>
      <c r="C240" s="1" t="n">
        <v>111.901</v>
      </c>
      <c r="D240" s="1" t="n">
        <v>180</v>
      </c>
      <c r="E240" s="1" t="n">
        <v>1110576</v>
      </c>
      <c r="F240" s="1" t="inlineStr">
        <is>
          <t>Resistor,22K,5%,1/16W,0402(1005)</t>
        </is>
      </c>
    </row>
    <row r="241">
      <c r="A241" s="1" t="inlineStr">
        <is>
          <t>R368</t>
        </is>
      </c>
      <c r="B241" s="1" t="n">
        <v>14.0477</v>
      </c>
      <c r="C241" s="1" t="n">
        <v>19.7675</v>
      </c>
      <c r="D241" s="1" t="n">
        <v>90</v>
      </c>
      <c r="E241" s="1" t="n">
        <v>1110364</v>
      </c>
      <c r="F241" s="1" t="inlineStr">
        <is>
          <t>Resistor,1.8K,5%,1/4W,1206(3216)</t>
        </is>
      </c>
    </row>
    <row r="242">
      <c r="A242" s="1" t="inlineStr">
        <is>
          <t>R369</t>
        </is>
      </c>
      <c r="B242" s="1" t="n">
        <v>16.0477</v>
      </c>
      <c r="C242" s="1" t="n">
        <v>20.601</v>
      </c>
      <c r="D242" s="1" t="n">
        <v>270</v>
      </c>
      <c r="E242" s="1" t="n">
        <v>1110576</v>
      </c>
      <c r="F242" s="1" t="inlineStr">
        <is>
          <t>Resistor,22K,5%,1/16W,0402(1005)</t>
        </is>
      </c>
    </row>
    <row r="243">
      <c r="A243" s="1" t="inlineStr">
        <is>
          <t>R371</t>
        </is>
      </c>
      <c r="B243" s="1" t="n">
        <v>49.9145</v>
      </c>
      <c r="C243" s="1" t="n">
        <v>81.7942</v>
      </c>
      <c r="D243" s="1" t="n">
        <v>360</v>
      </c>
      <c r="E243" s="1" t="n">
        <v>1110576</v>
      </c>
      <c r="F243" s="1" t="inlineStr">
        <is>
          <t>Resistor,22K,5%,1/16W,0402(1005)</t>
        </is>
      </c>
    </row>
    <row r="244">
      <c r="A244" s="1" t="inlineStr">
        <is>
          <t>R372</t>
        </is>
      </c>
      <c r="B244" s="1" t="n">
        <v>29.92</v>
      </c>
      <c r="C244" s="1" t="n">
        <v>23.051</v>
      </c>
      <c r="D244" s="1" t="n">
        <v>180</v>
      </c>
      <c r="E244" s="1" t="n">
        <v>1110276</v>
      </c>
      <c r="F244" s="1" t="inlineStr">
        <is>
          <t>Resistor,0R,5%,1/16W,0402(1005)</t>
        </is>
      </c>
    </row>
    <row r="245">
      <c r="A245" s="1" t="inlineStr">
        <is>
          <t>R374</t>
        </is>
      </c>
      <c r="B245" s="1" t="n">
        <v>30.3477</v>
      </c>
      <c r="C245" s="1" t="n">
        <v>20.6179</v>
      </c>
      <c r="D245" s="1" t="n">
        <v>270</v>
      </c>
      <c r="E245" s="1" t="n">
        <v>1110576</v>
      </c>
      <c r="F245" s="1" t="inlineStr">
        <is>
          <t>Resistor,22K,5%,1/16W,0402(1005)</t>
        </is>
      </c>
    </row>
    <row r="246">
      <c r="A246" s="1" t="inlineStr">
        <is>
          <t>R375</t>
        </is>
      </c>
      <c r="B246" s="1" t="n">
        <v>28.8566</v>
      </c>
      <c r="C246" s="1" t="n">
        <v>26.701</v>
      </c>
      <c r="D246" s="1" t="n">
        <v>180</v>
      </c>
      <c r="E246" s="1" t="n">
        <v>1110284</v>
      </c>
      <c r="F246" s="1" t="inlineStr">
        <is>
          <t>Resistor,1.2K,5%,1/4W,1206(3216)</t>
        </is>
      </c>
    </row>
    <row r="247">
      <c r="A247" s="1" t="inlineStr">
        <is>
          <t>R376</t>
        </is>
      </c>
      <c r="B247" s="1" t="n">
        <v>49.9145</v>
      </c>
      <c r="C247" s="1" t="n">
        <v>77.45099999999999</v>
      </c>
      <c r="D247" s="1" t="n">
        <v>360</v>
      </c>
      <c r="E247" s="1" t="n">
        <v>1110576</v>
      </c>
      <c r="F247" s="1" t="inlineStr">
        <is>
          <t>Resistor,22K,5%,1/16W,0402(1005)</t>
        </is>
      </c>
    </row>
    <row r="248">
      <c r="A248" s="1" t="inlineStr">
        <is>
          <t>R377</t>
        </is>
      </c>
      <c r="B248" s="1" t="n">
        <v>51.2977</v>
      </c>
      <c r="C248" s="1" t="n">
        <v>39.351</v>
      </c>
      <c r="D248" s="1" t="n">
        <v>270</v>
      </c>
      <c r="E248" s="1" t="n">
        <v>1110276</v>
      </c>
      <c r="F248" s="1" t="inlineStr">
        <is>
          <t>Resistor,0R,5%,1/16W,0402(1005)</t>
        </is>
      </c>
    </row>
    <row r="249">
      <c r="A249" s="1" t="inlineStr">
        <is>
          <t>R379</t>
        </is>
      </c>
      <c r="B249" s="1" t="n">
        <v>54.8977</v>
      </c>
      <c r="C249" s="1" t="n">
        <v>39.751</v>
      </c>
      <c r="D249" s="1" t="n">
        <v>360</v>
      </c>
      <c r="E249" s="1" t="n">
        <v>1110576</v>
      </c>
      <c r="F249" s="1" t="inlineStr">
        <is>
          <t>Resistor,22K,5%,1/16W,0402(1005)</t>
        </is>
      </c>
    </row>
    <row r="250">
      <c r="A250" s="1" t="inlineStr">
        <is>
          <t>R380</t>
        </is>
      </c>
      <c r="B250" s="1" t="n">
        <v>50.4812</v>
      </c>
      <c r="C250" s="1" t="n">
        <v>42.201</v>
      </c>
      <c r="D250" s="1" t="n">
        <v>360</v>
      </c>
      <c r="E250" s="1" t="n">
        <v>1110284</v>
      </c>
      <c r="F250" s="1" t="inlineStr">
        <is>
          <t>Resistor,1.2K,5%,1/4W,1206(3216)</t>
        </is>
      </c>
    </row>
    <row r="251">
      <c r="A251" s="1" t="inlineStr">
        <is>
          <t>R383</t>
        </is>
      </c>
      <c r="B251" s="1" t="n">
        <v>18.7977</v>
      </c>
      <c r="C251" s="1" t="n">
        <v>19.7675</v>
      </c>
      <c r="D251" s="1" t="n">
        <v>90</v>
      </c>
      <c r="E251" s="1" t="n">
        <v>1110364</v>
      </c>
      <c r="F251" s="1" t="inlineStr">
        <is>
          <t>Resistor,1.8K,5%,1/4W,1206(3216)</t>
        </is>
      </c>
    </row>
    <row r="252">
      <c r="A252" s="1" t="inlineStr">
        <is>
          <t>R384</t>
        </is>
      </c>
      <c r="B252" s="1" t="n">
        <v>20.7977</v>
      </c>
      <c r="C252" s="1" t="n">
        <v>20.601</v>
      </c>
      <c r="D252" s="1" t="n">
        <v>270</v>
      </c>
      <c r="E252" s="1" t="n">
        <v>1110576</v>
      </c>
      <c r="F252" s="1" t="inlineStr">
        <is>
          <t>Resistor,22K,5%,1/16W,0402(1005)</t>
        </is>
      </c>
    </row>
    <row r="253">
      <c r="A253" s="1" t="inlineStr">
        <is>
          <t>R386</t>
        </is>
      </c>
      <c r="B253" s="1" t="n">
        <v>49.9145</v>
      </c>
      <c r="C253" s="1" t="n">
        <v>80.48950000000001</v>
      </c>
      <c r="D253" s="1" t="n">
        <v>360</v>
      </c>
      <c r="E253" s="1" t="n">
        <v>1110576</v>
      </c>
      <c r="F253" s="1" t="inlineStr">
        <is>
          <t>Resistor,22K,5%,1/16W,0402(1005)</t>
        </is>
      </c>
    </row>
    <row r="254">
      <c r="A254" s="1" t="inlineStr">
        <is>
          <t>R388</t>
        </is>
      </c>
      <c r="B254" s="1" t="n">
        <v>23.59</v>
      </c>
      <c r="C254" s="1" t="n">
        <v>19.7675</v>
      </c>
      <c r="D254" s="1" t="n">
        <v>90</v>
      </c>
      <c r="E254" s="1" t="n">
        <v>1110364</v>
      </c>
      <c r="F254" s="1" t="inlineStr">
        <is>
          <t>Resistor,1.8K,5%,1/4W,1206(3216)</t>
        </is>
      </c>
    </row>
    <row r="255">
      <c r="A255" s="1" t="inlineStr">
        <is>
          <t>R389</t>
        </is>
      </c>
      <c r="B255" s="1" t="n">
        <v>25.59</v>
      </c>
      <c r="C255" s="1" t="n">
        <v>20.601</v>
      </c>
      <c r="D255" s="1" t="n">
        <v>270</v>
      </c>
      <c r="E255" s="1" t="n">
        <v>1110576</v>
      </c>
      <c r="F255" s="1" t="inlineStr">
        <is>
          <t>Resistor,22K,5%,1/16W,0402(1005)</t>
        </is>
      </c>
    </row>
    <row r="256">
      <c r="A256" s="1" t="inlineStr">
        <is>
          <t>R391</t>
        </is>
      </c>
      <c r="B256" s="1" t="n">
        <v>49.9145</v>
      </c>
      <c r="C256" s="1" t="n">
        <v>78.751</v>
      </c>
      <c r="D256" s="1" t="n">
        <v>360</v>
      </c>
      <c r="E256" s="1" t="n">
        <v>1110576</v>
      </c>
      <c r="F256" s="1" t="inlineStr">
        <is>
          <t>Resistor,22K,5%,1/16W,0402(1005)</t>
        </is>
      </c>
    </row>
    <row r="257">
      <c r="A257" s="1" t="inlineStr">
        <is>
          <t>R392</t>
        </is>
      </c>
      <c r="B257" s="1" t="n">
        <v>65.69970000000001</v>
      </c>
      <c r="C257" s="1" t="n">
        <v>84.45099999999999</v>
      </c>
      <c r="D257" s="1" t="n">
        <v>270</v>
      </c>
      <c r="E257" s="1" t="n">
        <v>1110583</v>
      </c>
      <c r="F257" s="1" t="inlineStr">
        <is>
          <t>Resistor,47K,1%,1/16W,0402(1005)</t>
        </is>
      </c>
    </row>
    <row r="258">
      <c r="A258" s="1" t="inlineStr">
        <is>
          <t>R393</t>
        </is>
      </c>
      <c r="B258" s="1" t="n">
        <v>65.69970000000001</v>
      </c>
      <c r="C258" s="1" t="n">
        <v>87.051</v>
      </c>
      <c r="D258" s="1" t="n">
        <v>90</v>
      </c>
      <c r="E258" s="1" t="n">
        <v>1110575</v>
      </c>
      <c r="F258" s="1" t="inlineStr">
        <is>
          <t>Resistor,22K,1%,1/16W,0402(1005)</t>
        </is>
      </c>
    </row>
    <row r="259">
      <c r="A259" s="1" t="inlineStr">
        <is>
          <t>R394</t>
        </is>
      </c>
      <c r="B259" s="1" t="n">
        <v>64.3997</v>
      </c>
      <c r="C259" s="1" t="n">
        <v>84.45099999999999</v>
      </c>
      <c r="D259" s="1" t="n">
        <v>90</v>
      </c>
      <c r="E259" s="1" t="n">
        <v>1110573</v>
      </c>
      <c r="F259" s="1" t="inlineStr">
        <is>
          <t>Resistor,10K,1%,1/16W,0402(1005)</t>
        </is>
      </c>
    </row>
    <row r="260">
      <c r="A260" s="1" t="inlineStr">
        <is>
          <t>R395</t>
        </is>
      </c>
      <c r="B260" s="1" t="n">
        <v>64.3997</v>
      </c>
      <c r="C260" s="1" t="n">
        <v>87.051</v>
      </c>
      <c r="D260" s="1" t="n">
        <v>270</v>
      </c>
      <c r="E260" s="1" t="n">
        <v>1110575</v>
      </c>
      <c r="F260" s="1" t="inlineStr">
        <is>
          <t>Resistor,22K,1%,1/16W,0402(1005)</t>
        </is>
      </c>
    </row>
    <row r="261">
      <c r="A261" s="1" t="inlineStr">
        <is>
          <t>R396</t>
        </is>
      </c>
      <c r="B261" s="1" t="n">
        <v>13.8477</v>
      </c>
      <c r="C261" s="1" t="n">
        <v>60.751</v>
      </c>
      <c r="D261" s="1" t="n">
        <v>90</v>
      </c>
      <c r="E261" s="1" t="n">
        <v>1101075</v>
      </c>
      <c r="F261" s="1" t="inlineStr">
        <is>
          <t>Resistor,2.7K,1%,1/16W,0402(1005)</t>
        </is>
      </c>
    </row>
    <row r="262">
      <c r="A262" s="1" t="inlineStr">
        <is>
          <t>R397</t>
        </is>
      </c>
      <c r="B262" s="1" t="n">
        <v>13.8477</v>
      </c>
      <c r="C262" s="1" t="n">
        <v>63.051</v>
      </c>
      <c r="D262" s="1" t="n">
        <v>90</v>
      </c>
      <c r="E262" s="1" t="n">
        <v>1110576</v>
      </c>
      <c r="F262" s="1" t="inlineStr">
        <is>
          <t>Resistor,22K,5%,1/16W,0402(1005)</t>
        </is>
      </c>
    </row>
    <row r="263">
      <c r="A263" s="1" t="inlineStr">
        <is>
          <t>R399</t>
        </is>
      </c>
      <c r="B263" s="1" t="n">
        <v>26.1477</v>
      </c>
      <c r="C263" s="1" t="n">
        <v>60.401</v>
      </c>
      <c r="D263" s="1" t="n">
        <v>90</v>
      </c>
      <c r="E263" s="1" t="n">
        <v>1101075</v>
      </c>
      <c r="F263" s="1" t="inlineStr">
        <is>
          <t>Resistor,2.7K,1%,1/16W,0402(1005)</t>
        </is>
      </c>
    </row>
    <row r="264">
      <c r="A264" s="1" t="inlineStr">
        <is>
          <t>R400</t>
        </is>
      </c>
      <c r="B264" s="1" t="n">
        <v>24.6977</v>
      </c>
      <c r="C264" s="1" t="n">
        <v>63.051</v>
      </c>
      <c r="D264" s="1" t="n">
        <v>90</v>
      </c>
      <c r="E264" s="1" t="n">
        <v>1110576</v>
      </c>
      <c r="F264" s="1" t="inlineStr">
        <is>
          <t>Resistor,22K,5%,1/16W,0402(1005)</t>
        </is>
      </c>
    </row>
    <row r="265">
      <c r="A265" s="1" t="inlineStr">
        <is>
          <t>R402</t>
        </is>
      </c>
      <c r="B265" s="1" t="n">
        <v>29.4477</v>
      </c>
      <c r="C265" s="1" t="n">
        <v>60.401</v>
      </c>
      <c r="D265" s="1" t="n">
        <v>90</v>
      </c>
      <c r="E265" s="1" t="n">
        <v>1101075</v>
      </c>
      <c r="F265" s="1" t="inlineStr">
        <is>
          <t>Resistor,2.7K,1%,1/16W,0402(1005)</t>
        </is>
      </c>
    </row>
    <row r="266">
      <c r="A266" s="1" t="inlineStr">
        <is>
          <t>R403</t>
        </is>
      </c>
      <c r="B266" s="1" t="n">
        <v>27.9977</v>
      </c>
      <c r="C266" s="1" t="n">
        <v>63.051</v>
      </c>
      <c r="D266" s="1" t="n">
        <v>90</v>
      </c>
      <c r="E266" s="1" t="n">
        <v>1110576</v>
      </c>
      <c r="F266" s="1" t="inlineStr">
        <is>
          <t>Resistor,22K,5%,1/16W,0402(1005)</t>
        </is>
      </c>
    </row>
    <row r="267">
      <c r="A267" s="1" t="inlineStr">
        <is>
          <t>R419</t>
        </is>
      </c>
      <c r="B267" s="1" t="n">
        <v>49.9145</v>
      </c>
      <c r="C267" s="1" t="n">
        <v>84.86920000000001</v>
      </c>
      <c r="D267" s="1" t="n">
        <v>360</v>
      </c>
      <c r="E267" s="1" t="n">
        <v>1110576</v>
      </c>
      <c r="F267" s="1" t="inlineStr">
        <is>
          <t>Resistor,22K,5%,1/16W,0402(1005)</t>
        </is>
      </c>
    </row>
    <row r="268">
      <c r="A268" s="1" t="inlineStr">
        <is>
          <t>R424</t>
        </is>
      </c>
      <c r="B268" s="1" t="n">
        <v>58.8498</v>
      </c>
      <c r="C268" s="1" t="n">
        <v>95.151</v>
      </c>
      <c r="D268" s="1" t="n">
        <v>360</v>
      </c>
      <c r="E268" s="1" t="n">
        <v>1110573</v>
      </c>
      <c r="F268" s="1" t="inlineStr">
        <is>
          <t>Resistor,10K,1%,1/16W,0402(1005)</t>
        </is>
      </c>
    </row>
    <row r="269">
      <c r="A269" s="1" t="inlineStr">
        <is>
          <t>R429</t>
        </is>
      </c>
      <c r="B269" s="1" t="n">
        <v>49.9145</v>
      </c>
      <c r="C269" s="1" t="n">
        <v>74.3693</v>
      </c>
      <c r="D269" s="1" t="n">
        <v>360</v>
      </c>
      <c r="E269" s="1" t="n">
        <v>1110576</v>
      </c>
      <c r="F269" s="1" t="inlineStr">
        <is>
          <t>Resistor,22K,5%,1/16W,0402(1005)</t>
        </is>
      </c>
    </row>
    <row r="270">
      <c r="A270" s="1" t="inlineStr">
        <is>
          <t>R439</t>
        </is>
      </c>
      <c r="B270" s="1" t="n">
        <v>49.9145</v>
      </c>
      <c r="C270" s="1" t="n">
        <v>75.70099999999999</v>
      </c>
      <c r="D270" s="1" t="n">
        <v>360</v>
      </c>
      <c r="E270" s="1" t="n">
        <v>1110576</v>
      </c>
      <c r="F270" s="1" t="inlineStr">
        <is>
          <t>Resistor,22K,5%,1/16W,0402(1005)</t>
        </is>
      </c>
    </row>
    <row r="271">
      <c r="A271" s="1" t="inlineStr">
        <is>
          <t>R449</t>
        </is>
      </c>
      <c r="B271" s="1" t="n">
        <v>49.9145</v>
      </c>
      <c r="C271" s="1" t="n">
        <v>83.5692</v>
      </c>
      <c r="D271" s="1" t="n">
        <v>360</v>
      </c>
      <c r="E271" s="1" t="n">
        <v>1110576</v>
      </c>
      <c r="F271" s="1" t="inlineStr">
        <is>
          <t>Resistor,22K,5%,1/16W,0402(1005)</t>
        </is>
      </c>
    </row>
    <row r="272">
      <c r="A272" s="1" t="inlineStr">
        <is>
          <t>R468</t>
        </is>
      </c>
      <c r="B272" s="1" t="n">
        <v>93.74769999999999</v>
      </c>
      <c r="C272" s="1" t="n">
        <v>97.351</v>
      </c>
      <c r="D272" s="1" t="n">
        <v>90</v>
      </c>
      <c r="E272" s="1" t="n">
        <v>1110707</v>
      </c>
      <c r="F272" s="1" t="inlineStr">
        <is>
          <t>Resistor,1K,5%,1/16W,0402(1005)</t>
        </is>
      </c>
    </row>
    <row r="273">
      <c r="A273" s="1" t="inlineStr">
        <is>
          <t>R469</t>
        </is>
      </c>
      <c r="B273" s="1" t="n">
        <v>88.02030000000001</v>
      </c>
      <c r="C273" s="1" t="n">
        <v>84.151</v>
      </c>
      <c r="D273" s="1" t="n">
        <v>180</v>
      </c>
      <c r="E273" s="1" t="n">
        <v>1110703</v>
      </c>
      <c r="F273" s="1" t="inlineStr">
        <is>
          <t>Resistor,10K,5%,1/16W,0402(1005)</t>
        </is>
      </c>
    </row>
    <row r="274">
      <c r="A274" s="1" t="inlineStr">
        <is>
          <t>R470</t>
        </is>
      </c>
      <c r="B274" s="1" t="n">
        <v>89.5027</v>
      </c>
      <c r="C274" s="1" t="n">
        <v>85.601</v>
      </c>
      <c r="D274" s="1" t="n">
        <v>360</v>
      </c>
      <c r="E274" s="1" t="n">
        <v>1110303</v>
      </c>
      <c r="F274" s="1" t="inlineStr">
        <is>
          <t>Resistor,4.7K,5%,1/10W,0603(1608)</t>
        </is>
      </c>
    </row>
    <row r="275">
      <c r="A275" s="1" t="inlineStr">
        <is>
          <t>R471</t>
        </is>
      </c>
      <c r="B275" s="1" t="n">
        <v>95.3582</v>
      </c>
      <c r="C275" s="1" t="n">
        <v>97.36799999999999</v>
      </c>
      <c r="D275" s="1" t="n">
        <v>90</v>
      </c>
      <c r="E275" s="1" t="n">
        <v>1110707</v>
      </c>
      <c r="F275" s="1" t="inlineStr">
        <is>
          <t>Resistor,1K,5%,1/16W,0402(1005)</t>
        </is>
      </c>
    </row>
    <row r="276">
      <c r="A276" s="1" t="inlineStr">
        <is>
          <t>R473</t>
        </is>
      </c>
      <c r="B276" s="1" t="n">
        <v>113.2812</v>
      </c>
      <c r="C276" s="1" t="n">
        <v>83.551</v>
      </c>
      <c r="D276" s="1" t="n">
        <v>360</v>
      </c>
      <c r="E276" s="1" t="n">
        <v>1110229</v>
      </c>
      <c r="F276" s="1" t="inlineStr">
        <is>
          <t>Resistor,680,5%,1/4W,1206(3216)</t>
        </is>
      </c>
    </row>
    <row r="277">
      <c r="A277" s="1" t="inlineStr">
        <is>
          <t>R474</t>
        </is>
      </c>
      <c r="B277" s="1" t="n">
        <v>114.8477</v>
      </c>
      <c r="C277" s="1" t="n">
        <v>86.45099999999999</v>
      </c>
      <c r="D277" s="1" t="n">
        <v>90</v>
      </c>
      <c r="E277" s="1" t="n">
        <v>1110703</v>
      </c>
      <c r="F277" s="1" t="inlineStr">
        <is>
          <t>Resistor,10K,5%,1/16W,0402(1005)</t>
        </is>
      </c>
    </row>
    <row r="278">
      <c r="A278" s="1" t="inlineStr">
        <is>
          <t>R475</t>
        </is>
      </c>
      <c r="B278" s="1" t="n">
        <v>114.8246</v>
      </c>
      <c r="C278" s="1" t="n">
        <v>89.176</v>
      </c>
      <c r="D278" s="1" t="n">
        <v>90</v>
      </c>
      <c r="E278" s="1" t="n">
        <v>1110303</v>
      </c>
      <c r="F278" s="1" t="inlineStr">
        <is>
          <t>Resistor,4.7K,5%,1/10W,0603(1608)</t>
        </is>
      </c>
    </row>
    <row r="279">
      <c r="A279" s="1" t="inlineStr">
        <is>
          <t>R476</t>
        </is>
      </c>
      <c r="B279" s="1" t="n">
        <v>88.04770000000001</v>
      </c>
      <c r="C279" s="1" t="n">
        <v>81.176</v>
      </c>
      <c r="D279" s="1" t="n">
        <v>180</v>
      </c>
      <c r="E279" s="1" t="n">
        <v>1110703</v>
      </c>
      <c r="F279" s="1" t="inlineStr">
        <is>
          <t>Resistor,10K,5%,1/16W,0402(1005)</t>
        </is>
      </c>
    </row>
    <row r="280">
      <c r="A280" s="1" t="inlineStr">
        <is>
          <t>R477</t>
        </is>
      </c>
      <c r="B280" s="1" t="n">
        <v>89.3777</v>
      </c>
      <c r="C280" s="1" t="n">
        <v>82.526</v>
      </c>
      <c r="D280" s="1" t="n">
        <v>360</v>
      </c>
      <c r="E280" s="1" t="n">
        <v>1110703</v>
      </c>
      <c r="F280" s="1" t="inlineStr">
        <is>
          <t>Resistor,10K,5%,1/16W,0402(1005)</t>
        </is>
      </c>
    </row>
    <row r="281">
      <c r="A281" s="1" t="inlineStr">
        <is>
          <t>R478</t>
        </is>
      </c>
      <c r="B281" s="1" t="n">
        <v>96.99769999999999</v>
      </c>
      <c r="C281" s="1" t="n">
        <v>97.36799999999999</v>
      </c>
      <c r="D281" s="1" t="n">
        <v>90</v>
      </c>
      <c r="E281" s="1" t="n">
        <v>1110707</v>
      </c>
      <c r="F281" s="1" t="inlineStr">
        <is>
          <t>Resistor,1K,5%,1/16W,0402(1005)</t>
        </is>
      </c>
    </row>
    <row r="282">
      <c r="A282" s="1" t="inlineStr">
        <is>
          <t>R479</t>
        </is>
      </c>
      <c r="B282" s="1" t="n">
        <v>99.6477</v>
      </c>
      <c r="C282" s="1" t="n">
        <v>90.801</v>
      </c>
      <c r="D282" s="1" t="n">
        <v>360</v>
      </c>
      <c r="E282" s="1" t="n">
        <v>1110703</v>
      </c>
      <c r="F282" s="1" t="inlineStr">
        <is>
          <t>Resistor,10K,5%,1/16W,0402(1005)</t>
        </is>
      </c>
    </row>
    <row r="283">
      <c r="A283" s="1" t="inlineStr">
        <is>
          <t>R480</t>
        </is>
      </c>
      <c r="B283" s="1" t="n">
        <v>101.5977</v>
      </c>
      <c r="C283" s="1" t="n">
        <v>92.901</v>
      </c>
      <c r="D283" s="1" t="n">
        <v>90</v>
      </c>
      <c r="E283" s="1" t="n">
        <v>1110703</v>
      </c>
      <c r="F283" s="1" t="inlineStr">
        <is>
          <t>Resistor,10K,5%,1/16W,0402(1005)</t>
        </is>
      </c>
    </row>
    <row r="284">
      <c r="A284" s="1" t="inlineStr">
        <is>
          <t>R481</t>
        </is>
      </c>
      <c r="B284" s="1" t="n">
        <v>106.9477</v>
      </c>
      <c r="C284" s="1" t="n">
        <v>90.551</v>
      </c>
      <c r="D284" s="1" t="n">
        <v>90</v>
      </c>
      <c r="E284" s="1" t="n">
        <v>1110276</v>
      </c>
      <c r="F284" s="1" t="inlineStr">
        <is>
          <t>Resistor,0R,5%,1/16W,0402(1005)</t>
        </is>
      </c>
    </row>
    <row r="285">
      <c r="A285" s="1" t="inlineStr">
        <is>
          <t>R482</t>
        </is>
      </c>
      <c r="B285" s="1" t="n">
        <v>106.9477</v>
      </c>
      <c r="C285" s="1" t="n">
        <v>92.801</v>
      </c>
      <c r="D285" s="1" t="n">
        <v>270</v>
      </c>
      <c r="E285" s="1" t="n">
        <v>1110703</v>
      </c>
      <c r="F285" s="1" t="inlineStr">
        <is>
          <t>Resistor,10K,5%,1/16W,0402(1005)</t>
        </is>
      </c>
    </row>
    <row r="286">
      <c r="A286" s="1" t="inlineStr">
        <is>
          <t>R484</t>
        </is>
      </c>
      <c r="B286" s="1" t="n">
        <v>105.6977</v>
      </c>
      <c r="C286" s="1" t="n">
        <v>92.801</v>
      </c>
      <c r="D286" s="1" t="n">
        <v>90</v>
      </c>
      <c r="E286" s="1" t="n">
        <v>1110703</v>
      </c>
      <c r="F286" s="1" t="inlineStr">
        <is>
          <t>Resistor,10K,5%,1/16W,0402(1005)</t>
        </is>
      </c>
    </row>
    <row r="287">
      <c r="A287" s="1" t="inlineStr">
        <is>
          <t>U100</t>
        </is>
      </c>
      <c r="B287" s="1" t="n">
        <v>99.3977</v>
      </c>
      <c r="C287" s="1" t="n">
        <v>30.301</v>
      </c>
      <c r="D287" s="1" t="n">
        <v>360</v>
      </c>
      <c r="E287" s="1" t="n">
        <v>1111066</v>
      </c>
      <c r="F287" s="1" t="inlineStr">
        <is>
          <t>IC,Interface,MSDI,24CH,4.5V~35V,HTSSOP-38</t>
        </is>
      </c>
    </row>
    <row r="288">
      <c r="A288" s="1" t="inlineStr">
        <is>
          <t>U102</t>
        </is>
      </c>
      <c r="B288" s="1" t="n">
        <v>44.1477</v>
      </c>
      <c r="C288" s="1" t="n">
        <v>97.456</v>
      </c>
      <c r="D288" s="1" t="n">
        <v>90</v>
      </c>
      <c r="E288" s="1" t="n">
        <v>1111041</v>
      </c>
      <c r="F288" s="1" t="inlineStr">
        <is>
          <t>IC,PMIC,Power Switch,Low-Side,Smart,8CH,0.33A,28V,PG-TSDSO-24</t>
        </is>
      </c>
    </row>
    <row r="289">
      <c r="A289" s="1" t="inlineStr">
        <is>
          <t>U103</t>
        </is>
      </c>
      <c r="B289" s="1" t="n">
        <v>28.7477</v>
      </c>
      <c r="C289" s="1" t="n">
        <v>97.456</v>
      </c>
      <c r="D289" s="1" t="n">
        <v>90</v>
      </c>
      <c r="E289" s="1" t="n">
        <v>1111041</v>
      </c>
      <c r="F289" s="1" t="inlineStr">
        <is>
          <t>IC,PMIC,Power Switch,Low-Side,Smart,8CH,0.33A,28V,PG-TSDSO-24</t>
        </is>
      </c>
    </row>
    <row r="290">
      <c r="A290" s="1" t="inlineStr">
        <is>
          <t>U110</t>
        </is>
      </c>
      <c r="B290" s="1" t="n">
        <v>73.8477</v>
      </c>
      <c r="C290" s="1" t="n">
        <v>60.501</v>
      </c>
      <c r="D290" s="1" t="n">
        <v>270</v>
      </c>
      <c r="E290" s="1" t="n">
        <v>1111097</v>
      </c>
      <c r="F290" s="1" t="inlineStr">
        <is>
          <t>IC,Interface,CAN Tranceiver,1/1,SO-14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Farhad Mosharaf</dc:creator>
  <dcterms:created xmlns:dcterms="http://purl.org/dc/terms/" xmlns:xsi="http://www.w3.org/2001/XMLSchema-instance" xsi:type="dcterms:W3CDTF">2024-12-10T09:46:20Z</dcterms:created>
  <dcterms:modified xmlns:dcterms="http://purl.org/dc/terms/" xmlns:xsi="http://www.w3.org/2001/XMLSchema-instance" xsi:type="dcterms:W3CDTF">2026-07-27T04:32:00Z</dcterms:modified>
  <cp:lastModifiedBy>Peyman Parsa</cp:lastModifiedBy>
</cp:coreProperties>
</file>